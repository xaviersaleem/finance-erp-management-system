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5c12bbde314d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3d210b9169d4370"/>
    <x:sheet xmlns:r="http://schemas.openxmlformats.org/officeDocument/2006/relationships" name="SETUP" sheetId="2" r:id="R845aa42ecaf84a44"/>
    <x:sheet xmlns:r="http://schemas.openxmlformats.org/officeDocument/2006/relationships" name="MASTER_COA" sheetId="3" r:id="R5b81e76a419747b5"/>
    <x:sheet xmlns:r="http://schemas.openxmlformats.org/officeDocument/2006/relationships" name="MASTER_Departments" sheetId="4" r:id="Rd4a0e81eaf32473b"/>
    <x:sheet xmlns:r="http://schemas.openxmlformats.org/officeDocument/2006/relationships" name="MASTER_Customers" sheetId="5" r:id="Re8151fc36bd147aa"/>
    <x:sheet xmlns:r="http://schemas.openxmlformats.org/officeDocument/2006/relationships" name="MASTER_Vendors" sheetId="6" r:id="Rdcde7695c3cd414c"/>
    <x:sheet xmlns:r="http://schemas.openxmlformats.org/officeDocument/2006/relationships" name="MASTER_Products" sheetId="7" r:id="R9a130b5a12494c09"/>
    <x:sheet xmlns:r="http://schemas.openxmlformats.org/officeDocument/2006/relationships" name="TXN_Sales_Invoices" sheetId="8" r:id="R24e3c8f1d3044cde"/>
    <x:sheet xmlns:r="http://schemas.openxmlformats.org/officeDocument/2006/relationships" name="TXN_Purchase_Invoices" sheetId="9" r:id="Rd2d34b8a34cc4eb0"/>
    <x:sheet xmlns:r="http://schemas.openxmlformats.org/officeDocument/2006/relationships" name="TXN_Customer_Receipts" sheetId="10" r:id="R5e7851a2ffc64f38"/>
    <x:sheet xmlns:r="http://schemas.openxmlformats.org/officeDocument/2006/relationships" name="TXN_Vendor_Payments" sheetId="11" r:id="Ra21393786eb2449b"/>
    <x:sheet xmlns:r="http://schemas.openxmlformats.org/officeDocument/2006/relationships" name="TXN_Manual_Journals" sheetId="12" r:id="Rb3382300bc644907"/>
    <x:sheet xmlns:r="http://schemas.openxmlformats.org/officeDocument/2006/relationships" name="GL_Journal" sheetId="13" r:id="R66b8c893136b4a48"/>
    <x:sheet xmlns:r="http://schemas.openxmlformats.org/officeDocument/2006/relationships" name="Trial_Balance" sheetId="14" r:id="Rf6c87985eb124874"/>
    <x:sheet xmlns:r="http://schemas.openxmlformats.org/officeDocument/2006/relationships" name="P&amp;L" sheetId="15" r:id="R2541f6abd2f14ca2"/>
    <x:sheet xmlns:r="http://schemas.openxmlformats.org/officeDocument/2006/relationships" name="Balance_Sheet" sheetId="16" r:id="R4269b64c27764ce0"/>
    <x:sheet xmlns:r="http://schemas.openxmlformats.org/officeDocument/2006/relationships" name="AR_Aging" sheetId="17" r:id="R224b6c011128468e"/>
    <x:sheet xmlns:r="http://schemas.openxmlformats.org/officeDocument/2006/relationships" name="AP_Aging" sheetId="18" r:id="Rc9b8a0666ba14b2c"/>
    <x:sheet xmlns:r="http://schemas.openxmlformats.org/officeDocument/2006/relationships" name="Inventory_Summary" sheetId="19" r:id="Rbefb34ba17c74887"/>
    <x:sheet xmlns:r="http://schemas.openxmlformats.org/officeDocument/2006/relationships" name="Dashboard" sheetId="20" r:id="R4b77d6c6d3844d34"/>
    <x:sheet xmlns:r="http://schemas.openxmlformats.org/officeDocument/2006/relationships" name="BUDGET_Department" sheetId="21" r:id="R0044a8d56f5c40c3"/>
    <x:sheet xmlns:r="http://schemas.openxmlformats.org/officeDocument/2006/relationships" name="MASTER_Fixed_Assets" sheetId="22" r:id="R86bb9cb0797d42a7"/>
    <x:sheet xmlns:r="http://schemas.openxmlformats.org/officeDocument/2006/relationships" name="Month_End_Close" sheetId="23" r:id="R70ce8eb830c54e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%;[Red](0.0%);-"/>
    <x:numFmt numFmtId="202" formatCode="#,##0;[Red](#,##0);-"/>
    <x:numFmt numFmtId="203" formatCode="$#,##0;[Red]($#,##0);-"/>
    <x:numFmt numFmtId="204" formatCode="mmm-yyyy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color rgb="FF0000FF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1"/>
      <x:color rgb="FF008000"/>
      <x:name val="Carlito"/>
    </x:font>
    <x:font>
      <x:sz val="11"/>
      <x:color rgb="FF000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548235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0" borderId="0" xfId="0" applyNumberFormat="1" applyFont="1" applyFill="1" applyBorder="1"/>
    <x:xf numFmtId="200" fontId="8" fillId="0" borderId="0" xfId="0" applyNumberFormat="1" applyFont="1" applyFill="1" applyBorder="1"/>
    <x:xf numFmtId="203" fontId="8" fillId="0" borderId="0" xfId="0" applyNumberFormat="1" applyFont="1" applyFill="1" applyBorder="1"/>
    <x:xf numFmtId="0" fontId="8" fillId="0" borderId="1" xfId="0" applyNumberFormat="1" applyFont="1" applyFill="1" applyBorder="1"/>
    <x:xf numFmtId="200" fontId="8" fillId="0" borderId="1" xfId="0" applyNumberFormat="1" applyFont="1" applyFill="1" applyBorder="1"/>
    <x:xf numFmtId="203" fontId="8" fillId="0" borderId="1" xfId="0" applyNumberFormat="1" applyFont="1" applyFill="1" applyBorder="1"/>
    <x:xf numFmtId="203" fontId="9" fillId="0" borderId="0" xfId="0" applyNumberFormat="1" applyFont="1" applyFill="1" applyBorder="1"/>
    <x:xf numFmtId="0" fontId="9" fillId="0" borderId="0" xfId="0" applyNumberFormat="1" applyFont="1" applyFill="1" applyBorder="1"/>
    <x:xf numFmtId="203" fontId="9" fillId="0" borderId="1" xfId="0" applyNumberFormat="1" applyFont="1" applyFill="1" applyBorder="1"/>
    <x:xf numFmtId="0" fontId="9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4" borderId="0" xfId="0" applyNumberFormat="1" applyFont="1" applyFill="1" applyBorder="1"/>
    <x:xf numFmtId="0" fontId="0" fillId="4" borderId="0" xfId="0" applyNumberFormat="1" applyFont="1" applyFill="1" applyBorder="1"/>
    <x:xf numFmtId="203" fontId="0" fillId="4" borderId="0" xfId="0" applyNumberFormat="1" applyFont="1" applyFill="1" applyBorder="1"/>
    <x:xf numFmtId="203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4" borderId="1" xfId="0" applyNumberFormat="1" applyFont="1" applyFill="1" applyBorder="1"/>
    <x:xf numFmtId="203" fontId="0" fillId="4" borderId="1" xfId="0" applyNumberFormat="1" applyFont="1" applyFill="1" applyBorder="1"/>
    <x:xf numFmtId="203" fontId="2" fillId="4" borderId="1" xfId="0" applyNumberFormat="1" applyFont="1" applyFill="1" applyBorder="1"/>
    <x:xf numFmtId="203" fontId="0" fillId="3" borderId="0" xfId="0" applyNumberFormat="1" applyFont="1" applyFill="1" applyBorder="1"/>
    <x:xf numFmtId="203" fontId="2" fillId="3" borderId="0" xfId="0" applyNumberFormat="1" applyFont="1" applyFill="1" applyBorder="1"/>
    <x:xf numFmtId="203" fontId="0" fillId="3" borderId="1" xfId="0" applyNumberFormat="1" applyFont="1" applyFill="1" applyBorder="1"/>
    <x:xf numFmtId="203" fontId="2" fillId="3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6" fillId="6" borderId="0" xfId="0" applyNumberFormat="1" applyFont="1" applyFill="1" applyBorder="1"/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da731bd4bd43db" /><Relationship Type="http://schemas.openxmlformats.org/officeDocument/2006/relationships/theme" Target="/xl/theme/theme1.xml" Id="Rf6641d58993a4ae9" /><Relationship Type="http://schemas.microsoft.com/office/2022/11/relationships/FeaturePropertyBag" Target="/xl/featurePropertyBag/featurePropertyBag.xml" Id="R85f5cfb295f742b9" /><Relationship Type="http://schemas.openxmlformats.org/officeDocument/2006/relationships/sharedStrings" Target="/xl/sharedStrings.xml" Id="R61c75490a5f04794" /><Relationship Type="http://schemas.openxmlformats.org/officeDocument/2006/relationships/worksheet" Target="/xl/worksheets/sheet1.xml" Id="R23d210b9169d4370" /><Relationship Type="http://schemas.openxmlformats.org/officeDocument/2006/relationships/worksheet" Target="/xl/worksheets/sheet2.xml" Id="R845aa42ecaf84a44" /><Relationship Type="http://schemas.openxmlformats.org/officeDocument/2006/relationships/worksheet" Target="/xl/worksheets/sheet3.xml" Id="R5b81e76a419747b5" /><Relationship Type="http://schemas.openxmlformats.org/officeDocument/2006/relationships/worksheet" Target="/xl/worksheets/sheet4.xml" Id="Rd4a0e81eaf32473b" /><Relationship Type="http://schemas.openxmlformats.org/officeDocument/2006/relationships/worksheet" Target="/xl/worksheets/sheet5.xml" Id="Re8151fc36bd147aa" /><Relationship Type="http://schemas.openxmlformats.org/officeDocument/2006/relationships/worksheet" Target="/xl/worksheets/sheet6.xml" Id="Rdcde7695c3cd414c" /><Relationship Type="http://schemas.openxmlformats.org/officeDocument/2006/relationships/worksheet" Target="/xl/worksheets/sheet7.xml" Id="R9a130b5a12494c09" /><Relationship Type="http://schemas.openxmlformats.org/officeDocument/2006/relationships/worksheet" Target="/xl/worksheets/sheet8.xml" Id="R24e3c8f1d3044cde" /><Relationship Type="http://schemas.openxmlformats.org/officeDocument/2006/relationships/worksheet" Target="/xl/worksheets/sheet9.xml" Id="Rd2d34b8a34cc4eb0" /><Relationship Type="http://schemas.openxmlformats.org/officeDocument/2006/relationships/worksheet" Target="/xl/worksheets/sheet10.xml" Id="R5e7851a2ffc64f38" /><Relationship Type="http://schemas.openxmlformats.org/officeDocument/2006/relationships/worksheet" Target="/xl/worksheets/sheet11.xml" Id="Ra21393786eb2449b" /><Relationship Type="http://schemas.openxmlformats.org/officeDocument/2006/relationships/worksheet" Target="/xl/worksheets/sheet12.xml" Id="Rb3382300bc644907" /><Relationship Type="http://schemas.openxmlformats.org/officeDocument/2006/relationships/worksheet" Target="/xl/worksheets/sheet13.xml" Id="R66b8c893136b4a48" /><Relationship Type="http://schemas.openxmlformats.org/officeDocument/2006/relationships/worksheet" Target="/xl/worksheets/sheet14.xml" Id="Rf6c87985eb124874" /><Relationship Type="http://schemas.openxmlformats.org/officeDocument/2006/relationships/worksheet" Target="/xl/worksheets/sheet15.xml" Id="R2541f6abd2f14ca2" /><Relationship Type="http://schemas.openxmlformats.org/officeDocument/2006/relationships/worksheet" Target="/xl/worksheets/sheet16.xml" Id="R4269b64c27764ce0" /><Relationship Type="http://schemas.openxmlformats.org/officeDocument/2006/relationships/worksheet" Target="/xl/worksheets/sheet17.xml" Id="R224b6c011128468e" /><Relationship Type="http://schemas.openxmlformats.org/officeDocument/2006/relationships/worksheet" Target="/xl/worksheets/sheet18.xml" Id="Rc9b8a0666ba14b2c" /><Relationship Type="http://schemas.openxmlformats.org/officeDocument/2006/relationships/worksheet" Target="/xl/worksheets/sheet19.xml" Id="Rbefb34ba17c74887" /><Relationship Type="http://schemas.openxmlformats.org/officeDocument/2006/relationships/worksheet" Target="/xl/worksheets/sheet20.xml" Id="R4b77d6c6d3844d34" /><Relationship Type="http://schemas.openxmlformats.org/officeDocument/2006/relationships/worksheet" Target="/xl/worksheets/sheet21.xml" Id="R0044a8d56f5c40c3" /><Relationship Type="http://schemas.openxmlformats.org/officeDocument/2006/relationships/worksheet" Target="/xl/worksheets/sheet22.xml" Id="R86bb9cb0797d42a7" /><Relationship Type="http://schemas.openxmlformats.org/officeDocument/2006/relationships/worksheet" Target="/xl/worksheets/sheet23.xml" Id="R70ce8eb830c54e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COA" displayName="tblCOA" ref="A2:F19" headerRowCount="1" totalsRowCount="0" totalsRowShown="0">
  <x:tableColumns count="6">
    <x:tableColumn id="1" name="Account_ID"/>
    <x:tableColumn id="2" name="Account_Name"/>
    <x:tableColumn id="3" name="Type"/>
    <x:tableColumn id="4" name="FS_Group"/>
    <x:tableColumn id="5" name="Normal_Balance"/>
    <x:tableColumn id="6" name="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Departments" displayName="tblDepartments" ref="A2:D8" headerRowCount="1" totalsRowCount="0" totalsRowShown="0">
  <x:tableColumns count="4">
    <x:tableColumn id="1" name="Department_ID"/>
    <x:tableColumn id="2" name="Department_Name"/>
    <x:tableColumn id="3" name="Function"/>
    <x:tableColumn id="4" name="Acti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Customers" displayName="tblCustomers" ref="A2:F5" headerRowCount="1" totalsRowCount="0" totalsRowShown="0">
  <x:tableColumns count="6">
    <x:tableColumn id="1" name="Customer_ID"/>
    <x:tableColumn id="2" name="Customer_Name"/>
    <x:tableColumn id="3" name="Segment"/>
    <x:tableColumn id="4" name="Payment_Terms"/>
    <x:tableColumn id="5" name="Credit_Limit_USD"/>
    <x:tableColumn id="6" name="Activ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Vendors" displayName="tblVendors" ref="A2:E6" headerRowCount="1" totalsRowCount="0" totalsRowShown="0">
  <x:tableColumns count="5">
    <x:tableColumn id="1" name="Vendor_ID"/>
    <x:tableColumn id="2" name="Vendor_Name"/>
    <x:tableColumn id="3" name="Category"/>
    <x:tableColumn id="4" name="Payment_Terms"/>
    <x:tableColumn id="5" name="Activ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Products" displayName="tblProducts" ref="A2:F5" headerRowCount="1" totalsRowCount="0" totalsRowShown="0">
  <x:tableColumns count="6">
    <x:tableColumn id="1" name="Product_ID"/>
    <x:tableColumn id="2" name="Product_Name"/>
    <x:tableColumn id="3" name="Product_Line"/>
    <x:tableColumn id="4" name="Sales_Price_USD"/>
    <x:tableColumn id="5" name="Standard_Cost_USD"/>
    <x:tableColumn id="6" name="Activ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Sales" displayName="tblSales" ref="A2:K5" headerRowCount="1" totalsRowCount="0" totalsRowShown="0">
  <x:tableColumns count="11">
    <x:tableColumn id="1" name="Invoice_ID"/>
    <x:tableColumn id="2" name="Invoice_Date"/>
    <x:tableColumn id="3" name="Customer_ID"/>
    <x:tableColumn id="4" name="Product_ID"/>
    <x:tableColumn id="5" name="Qty"/>
    <x:tableColumn id="6" name="Unit_Price_USD"/>
    <x:tableColumn id="7" name="Tax_Rate"/>
    <x:tableColumn id="8" name="Department_ID"/>
    <x:tableColumn id="9" name="Approval_Status"/>
    <x:tableColumn id="10" name="Due_Date"/>
    <x:tableColumn id="11" name="Payment_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Purchases" displayName="tblPurchases" ref="A2:M6" headerRowCount="1" totalsRowCount="0" totalsRowShown="0">
  <x:tableColumns count="13">
    <x:tableColumn id="1" name="Bill_ID"/>
    <x:tableColumn id="2" name="Bill_Date"/>
    <x:tableColumn id="3" name="Vendor_ID"/>
    <x:tableColumn id="4" name="Product_ID"/>
    <x:tableColumn id="5" name="Qty"/>
    <x:tableColumn id="6" name="Unit_Cost_USD"/>
    <x:tableColumn id="7" name="Tax_Rate"/>
    <x:tableColumn id="8" name="Purchase_Type"/>
    <x:tableColumn id="9" name="Expense_Asset_Account"/>
    <x:tableColumn id="10" name="Department_ID"/>
    <x:tableColumn id="11" name="Approval_Status"/>
    <x:tableColumn id="12" name="Due_Date"/>
    <x:tableColumn id="13" name="Payment_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Receipts" displayName="tblReceipts" ref="A2:G3" headerRowCount="1" totalsRowCount="0" totalsRowShown="0">
  <x:tableColumns count="7">
    <x:tableColumn id="1" name="Receipt_ID"/>
    <x:tableColumn id="2" name="Receipt_Date"/>
    <x:tableColumn id="3" name="Customer_ID"/>
    <x:tableColumn id="4" name="Invoice_ID"/>
    <x:tableColumn id="5" name="Amount_USD"/>
    <x:tableColumn id="6" name="Method"/>
    <x:tableColumn id="7" name="Approval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Payments" displayName="tblPayments" ref="A2:G3" headerRowCount="1" totalsRowCount="0" totalsRowShown="0">
  <x:tableColumns count="7">
    <x:tableColumn id="1" name="Payment_ID"/>
    <x:tableColumn id="2" name="Payment_Date"/>
    <x:tableColumn id="3" name="Vendor_ID"/>
    <x:tableColumn id="4" name="Bill_ID"/>
    <x:tableColumn id="5" name="Amount_USD"/>
    <x:tableColumn id="6" name="Method"/>
    <x:tableColumn id="7" name="Approval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ManualJournals" displayName="tblManualJournals" ref="A2:I4" headerRowCount="1" totalsRowCount="0" totalsRowShown="0">
  <x:tableColumns count="9">
    <x:tableColumn id="1" name="Journal_ID"/>
    <x:tableColumn id="2" name="Journal_Date"/>
    <x:tableColumn id="3" name="Description"/>
    <x:tableColumn id="4" name="Debit_Account"/>
    <x:tableColumn id="5" name="Credit_Account"/>
    <x:tableColumn id="6" name="Amount_USD"/>
    <x:tableColumn id="7" name="Department_ID"/>
    <x:tableColumn id="8" name="Approval_Status"/>
    <x:tableColumn id="9" name="Sour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GL" displayName="tblGL" ref="A2:J37" headerRowCount="1" totalsRowCount="0" totalsRowShown="0">
  <x:tableColumns count="10">
    <x:tableColumn id="1" name="Entry_ID"/>
    <x:tableColumn id="2" name="Date"/>
    <x:tableColumn id="3" name="Source"/>
    <x:tableColumn id="4" name="Document_ID"/>
    <x:tableColumn id="5" name="Account_ID"/>
    <x:tableColumn id="6" name="Debit_USD"/>
    <x:tableColumn id="7" name="Credit_USD"/>
    <x:tableColumn id="8" name="Department_ID"/>
    <x:tableColumn id="9" name="Counterparty_ID"/>
    <x:tableColumn id="10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430cd6a161a40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52395123e2b4e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e7a3d2da7a74d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c70480f463b4d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757c3ddef5c42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ff52363d74845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9ec4387250a4aa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3aae401488b74f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8a2b4bb0614a8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9b1d4fb94114d6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dd165f63bb9742a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3" t="str">
        <x:v>Advanced ERP Finance &amp; Management System | AppSheet-Ready</x:v>
      </x:c>
    </x:row>
    <x:row r="3">
      <x:c r="A3" s="10" t="str">
        <x:v>Purpose</x:v>
      </x:c>
      <x:c r="B3" s="11" t="str">
        <x:v>Portfolio ERP simulation combining clean transaction-entry tables with an integrated finance/reporting layer.</x:v>
      </x:c>
    </x:row>
    <x:row r="4">
      <x:c r="A4" s="10" t="str">
        <x:v>AppSheet design</x:v>
      </x:c>
      <x:c r="B4" s="11" t="str">
        <x:v>Use only sheets prefixed MASTER_ or TXN_ as AppSheet data-entry tables. Each has one header row, stable keys, no merged cells inside the table, and controlled reference IDs.</x:v>
      </x:c>
    </x:row>
    <x:row r="5">
      <x:c r="A5" s="10" t="str">
        <x:v>Accounting flow</x:v>
      </x:c>
      <x:c r="B5" s="11" t="str">
        <x:v>Sales Invoice → AR/Revenue → Receipt → Cash/AR; Purchase Invoice → Expense or Inventory/AP → Payment → Cash/AP; journals consolidate in GL.</x:v>
      </x:c>
    </x:row>
    <x:row r="6">
      <x:c r="A6" s="10" t="str">
        <x:v>Practical workflow</x:v>
      </x:c>
      <x:c r="B6" s="11" t="str">
        <x:v>Maintain master data, enter transactions, post approved records, review GL/Trial Balance, then review statements, aging, inventory and dashboard.</x:v>
      </x:c>
    </x:row>
    <x:row r="7">
      <x:c r="A7" s="10" t="str">
        <x:v>Portfolio disclosure</x:v>
      </x:c>
      <x:c r="B7" s="11" t="str">
        <x:v>Fictional company and synthetic data. No employer or confidential data is used.</x:v>
      </x:c>
    </x:row>
    <x:row r="8">
      <x:c r="A8" s="10" t="str">
        <x:v>Next expansion</x:v>
      </x:c>
      <x:c r="B8" s="11" t="str">
        <x:v>AppSheet forms/actions, approval workflow, automated journal generation, bank reconciliation, month-end close, Power BI outputs.</x:v>
      </x:c>
    </x:row>
    <x:row r="10">
      <x:c r="A10" s="80" t="str">
        <x:v>Future coded application</x:v>
      </x:c>
      <x:c r="B10" s="11" t="str">
        <x:v>Recommended stack: React/Next.js front end + FastAPI backend + PostgreSQL database. Excel remains the prototype/control model and import/export format.</x:v>
      </x:c>
    </x:row>
    <x:row r="11">
      <x:c r="A11" s="80" t="str">
        <x:v>Database migration</x:v>
      </x:c>
      <x:c r="B11" s="11" t="str">
        <x:v>Each MASTER_ and TXN_ sheet maps naturally to a relational database table. IDs become primary/foreign keys.</x:v>
      </x:c>
    </x:row>
    <x:row r="12">
      <x:c r="A12" s="80" t="str">
        <x:v>Controls</x:v>
      </x:c>
      <x:c r="B12" s="11" t="str">
        <x:v>Approval status, posting status, audit trail, role permissions, document numbering, period lock and reconciliation controls should be enforced in the coded app.</x:v>
      </x:c>
    </x:row>
    <x:row r="13">
      <x:c r="A13" s="80" t="str">
        <x:v>Portfolio value</x:v>
      </x:c>
      <x:c r="B13" s="11" t="str">
        <x:v>This design demonstrates accounting process knowledge, ERP architecture, financial controls, data modeling and management reporting—not only spreadsheet skills.</x:v>
      </x:c>
    </x:row>
    <x:row r="14">
      <x:c r="A14" s="80" t="str">
        <x:v>Scale</x:v>
      </x:c>
      <x:c r="B14" s="11" t="str">
        <x:v>The expanded sample now contains hundreds of sales, purchasing, receipt and payment records across Jan-Sep 2026.</x:v>
      </x:c>
    </x:row>
    <x:row r="15">
      <x:c r="A15" s="80" t="str">
        <x:v>Build roadmap</x:v>
      </x:c>
      <x:c r="B15" s="11" t="str">
        <x:v>Excel ERP prototype → coded database/API → web UI → reporting/dashboard → GitHub deployment/documentation.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14" t="str">
        <x:v>ERP Control &amp; Company Setup</x:v>
      </x:c>
    </x:row>
    <x:row r="3">
      <x:c r="A3" s="7" t="str">
        <x:v>Company</x:v>
      </x:c>
      <x:c r="B3" s="16" t="str">
        <x:v>Northstar Integrated Trading LLC</x:v>
      </x:c>
      <x:c r="C3" t="str">
        <x:v>Portfolio Simulation</x:v>
      </x:c>
      <x:c r="D3" t="str"/>
    </x:row>
    <x:row r="4">
      <x:c r="A4" s="7" t="str">
        <x:v>Base Currency</x:v>
      </x:c>
      <x:c r="B4" s="16" t="str">
        <x:v>USD</x:v>
      </x:c>
      <x:c r="C4" t="str">
        <x:v>Hardcoded input</x:v>
      </x:c>
      <x:c r="D4" t="str"/>
    </x:row>
    <x:row r="5">
      <x:c r="A5" s="7" t="str">
        <x:v>Fiscal Year</x:v>
      </x:c>
      <x:c r="B5" s="16" t="n">
        <x:v>2026</x:v>
      </x:c>
      <x:c r="C5" t="str">
        <x:v>Hardcoded input</x:v>
      </x:c>
      <x:c r="D5" t="str"/>
    </x:row>
    <x:row r="6">
      <x:c r="A6" s="7" t="str">
        <x:v>Reporting Date</x:v>
      </x:c>
      <x:c r="B6" s="18" t="n">
        <x:v>46295</x:v>
      </x:c>
      <x:c r="C6" t="str">
        <x:v>Hardcoded input</x:v>
      </x:c>
      <x:c r="D6" t="str"/>
    </x:row>
    <x:row r="7">
      <x:c r="A7" s="7" t="str">
        <x:v>Default Tax Rate</x:v>
      </x:c>
      <x:c r="B7" s="20" t="n">
        <x:v>0.05</x:v>
      </x:c>
      <x:c r="C7" t="str">
        <x:v>Hardcoded input</x:v>
      </x:c>
      <x:c r="D7" t="str"/>
    </x:row>
    <x:row r="8">
      <x:c r="A8" s="7" t="str">
        <x:v>Inventory Method</x:v>
      </x:c>
      <x:c r="B8" s="16" t="str">
        <x:v>Weighted Average</x:v>
      </x:c>
      <x:c r="C8" t="str">
        <x:v>Model convention</x:v>
      </x:c>
      <x:c r="D8" t="str"/>
    </x:row>
    <x:row r="9">
      <x:c r="A9" s="7" t="str">
        <x:v>Posting Rule</x:v>
      </x:c>
      <x:c r="B9" s="16" t="str">
        <x:v>Only Approved transactions post</x:v>
      </x:c>
      <x:c r="C9" t="str">
        <x:v>Control</x:v>
      </x:c>
      <x:c r="D9" t="str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6" hidden="0" customWidth="1"/>
    <x:col min="4" max="4" width="22" hidden="0" customWidth="1"/>
    <x:col min="5" max="5" width="16" hidden="0" customWidth="1"/>
    <x:col min="6" max="6" width="10" hidden="0" customWidth="1"/>
  </x:cols>
  <x:sheetData>
    <x:row r="1">
      <x:c r="A1" s="22" t="str">
        <x:v>MASTER_COA</x:v>
      </x:c>
    </x:row>
    <x:row r="2">
      <x:c r="A2" s="26" t="str">
        <x:v>Account_ID</x:v>
      </x:c>
      <x:c r="B2" s="26" t="str">
        <x:v>Account_Name</x:v>
      </x:c>
      <x:c r="C2" s="26" t="str">
        <x:v>Type</x:v>
      </x:c>
      <x:c r="D2" s="26" t="str">
        <x:v>FS_Group</x:v>
      </x:c>
      <x:c r="E2" s="26" t="str">
        <x:v>Normal_Balance</x:v>
      </x:c>
      <x:c r="F2" s="26" t="str">
        <x:v>Active</x:v>
      </x:c>
    </x:row>
    <x:row r="3">
      <x:c r="A3" t="str">
        <x:v>1000</x:v>
      </x:c>
      <x:c r="B3" t="str">
        <x:v>Cash</x:v>
      </x:c>
      <x:c r="C3" t="str">
        <x:v>Asset</x:v>
      </x:c>
      <x:c r="D3" t="str">
        <x:v>Current Asset</x:v>
      </x:c>
      <x:c r="E3" t="str">
        <x:v>Debit</x:v>
      </x:c>
      <x:c r="F3" s="27" t="b">
        <x:v>1</x:v>
      </x:c>
    </x:row>
    <x:row r="4">
      <x:c r="A4" t="str">
        <x:v>1100</x:v>
      </x:c>
      <x:c r="B4" t="str">
        <x:v>Accounts Receivable</x:v>
      </x:c>
      <x:c r="C4" t="str">
        <x:v>Asset</x:v>
      </x:c>
      <x:c r="D4" t="str">
        <x:v>Current Asset</x:v>
      </x:c>
      <x:c r="E4" t="str">
        <x:v>Debit</x:v>
      </x:c>
      <x:c r="F4" s="27" t="b">
        <x:v>1</x:v>
      </x:c>
    </x:row>
    <x:row r="5">
      <x:c r="A5" t="str">
        <x:v>1200</x:v>
      </x:c>
      <x:c r="B5" t="str">
        <x:v>Inventory</x:v>
      </x:c>
      <x:c r="C5" t="str">
        <x:v>Asset</x:v>
      </x:c>
      <x:c r="D5" t="str">
        <x:v>Current Asset</x:v>
      </x:c>
      <x:c r="E5" t="str">
        <x:v>Debit</x:v>
      </x:c>
      <x:c r="F5" s="27" t="b">
        <x:v>1</x:v>
      </x:c>
    </x:row>
    <x:row r="6">
      <x:c r="A6" t="str">
        <x:v>1500</x:v>
      </x:c>
      <x:c r="B6" t="str">
        <x:v>Fixed Assets</x:v>
      </x:c>
      <x:c r="C6" t="str">
        <x:v>Asset</x:v>
      </x:c>
      <x:c r="D6" t="str">
        <x:v>Non-current Asset</x:v>
      </x:c>
      <x:c r="E6" t="str">
        <x:v>Debit</x:v>
      </x:c>
      <x:c r="F6" s="27" t="b">
        <x:v>1</x:v>
      </x:c>
    </x:row>
    <x:row r="7">
      <x:c r="A7" t="str">
        <x:v>1590</x:v>
      </x:c>
      <x:c r="B7" t="str">
        <x:v>Accumulated Depreciation</x:v>
      </x:c>
      <x:c r="C7" t="str">
        <x:v>Asset</x:v>
      </x:c>
      <x:c r="D7" t="str">
        <x:v>Non-current Asset</x:v>
      </x:c>
      <x:c r="E7" t="str">
        <x:v>Credit</x:v>
      </x:c>
      <x:c r="F7" s="27" t="b">
        <x:v>1</x:v>
      </x:c>
    </x:row>
    <x:row r="8">
      <x:c r="A8" t="str">
        <x:v>2000</x:v>
      </x:c>
      <x:c r="B8" t="str">
        <x:v>Accounts Payable</x:v>
      </x:c>
      <x:c r="C8" t="str">
        <x:v>Liability</x:v>
      </x:c>
      <x:c r="D8" t="str">
        <x:v>Current Liability</x:v>
      </x:c>
      <x:c r="E8" t="str">
        <x:v>Credit</x:v>
      </x:c>
      <x:c r="F8" s="27" t="b">
        <x:v>1</x:v>
      </x:c>
    </x:row>
    <x:row r="9">
      <x:c r="A9" t="str">
        <x:v>2100</x:v>
      </x:c>
      <x:c r="B9" t="str">
        <x:v>Tax Payable</x:v>
      </x:c>
      <x:c r="C9" t="str">
        <x:v>Liability</x:v>
      </x:c>
      <x:c r="D9" t="str">
        <x:v>Current Liability</x:v>
      </x:c>
      <x:c r="E9" t="str">
        <x:v>Credit</x:v>
      </x:c>
      <x:c r="F9" s="27" t="b">
        <x:v>1</x:v>
      </x:c>
    </x:row>
    <x:row r="10">
      <x:c r="A10" t="str">
        <x:v>3000</x:v>
      </x:c>
      <x:c r="B10" t="str">
        <x:v>Owner Equity</x:v>
      </x:c>
      <x:c r="C10" t="str">
        <x:v>Equity</x:v>
      </x:c>
      <x:c r="D10" t="str">
        <x:v>Equity</x:v>
      </x:c>
      <x:c r="E10" t="str">
        <x:v>Credit</x:v>
      </x:c>
      <x:c r="F10" s="27" t="b">
        <x:v>1</x:v>
      </x:c>
    </x:row>
    <x:row r="11">
      <x:c r="A11" t="str">
        <x:v>4000</x:v>
      </x:c>
      <x:c r="B11" t="str">
        <x:v>Sales Revenue</x:v>
      </x:c>
      <x:c r="C11" t="str">
        <x:v>Revenue</x:v>
      </x:c>
      <x:c r="D11" t="str">
        <x:v>Revenue</x:v>
      </x:c>
      <x:c r="E11" t="str">
        <x:v>Credit</x:v>
      </x:c>
      <x:c r="F11" s="27" t="b">
        <x:v>1</x:v>
      </x:c>
    </x:row>
    <x:row r="12">
      <x:c r="A12" t="str">
        <x:v>5000</x:v>
      </x:c>
      <x:c r="B12" t="str">
        <x:v>COGS</x:v>
      </x:c>
      <x:c r="C12" t="str">
        <x:v>Expense</x:v>
      </x:c>
      <x:c r="D12" t="str">
        <x:v>COGS</x:v>
      </x:c>
      <x:c r="E12" t="str">
        <x:v>Debit</x:v>
      </x:c>
      <x:c r="F12" s="27" t="b">
        <x:v>1</x:v>
      </x:c>
    </x:row>
    <x:row r="13">
      <x:c r="A13" t="str">
        <x:v>6100</x:v>
      </x:c>
      <x:c r="B13" t="str">
        <x:v>Payroll Expense</x:v>
      </x:c>
      <x:c r="C13" t="str">
        <x:v>Expense</x:v>
      </x:c>
      <x:c r="D13" t="str">
        <x:v>Operating Expense</x:v>
      </x:c>
      <x:c r="E13" t="str">
        <x:v>Debit</x:v>
      </x:c>
      <x:c r="F13" s="27" t="b">
        <x:v>1</x:v>
      </x:c>
    </x:row>
    <x:row r="14">
      <x:c r="A14" t="str">
        <x:v>6200</x:v>
      </x:c>
      <x:c r="B14" t="str">
        <x:v>Marketing Expense</x:v>
      </x:c>
      <x:c r="C14" t="str">
        <x:v>Expense</x:v>
      </x:c>
      <x:c r="D14" t="str">
        <x:v>Operating Expense</x:v>
      </x:c>
      <x:c r="E14" t="str">
        <x:v>Debit</x:v>
      </x:c>
      <x:c r="F14" s="27" t="b">
        <x:v>1</x:v>
      </x:c>
    </x:row>
    <x:row r="15">
      <x:c r="A15" t="str">
        <x:v>6300</x:v>
      </x:c>
      <x:c r="B15" t="str">
        <x:v>Rent &amp; Facilities</x:v>
      </x:c>
      <x:c r="C15" t="str">
        <x:v>Expense</x:v>
      </x:c>
      <x:c r="D15" t="str">
        <x:v>Operating Expense</x:v>
      </x:c>
      <x:c r="E15" t="str">
        <x:v>Debit</x:v>
      </x:c>
      <x:c r="F15" s="27" t="b">
        <x:v>1</x:v>
      </x:c>
    </x:row>
    <x:row r="16">
      <x:c r="A16" t="str">
        <x:v>6400</x:v>
      </x:c>
      <x:c r="B16" t="str">
        <x:v>IT &amp; Systems</x:v>
      </x:c>
      <x:c r="C16" t="str">
        <x:v>Expense</x:v>
      </x:c>
      <x:c r="D16" t="str">
        <x:v>Operating Expense</x:v>
      </x:c>
      <x:c r="E16" t="str">
        <x:v>Debit</x:v>
      </x:c>
      <x:c r="F16" s="27" t="b">
        <x:v>1</x:v>
      </x:c>
    </x:row>
    <x:row r="17">
      <x:c r="A17" t="str">
        <x:v>6500</x:v>
      </x:c>
      <x:c r="B17" t="str">
        <x:v>Logistics Expense</x:v>
      </x:c>
      <x:c r="C17" t="str">
        <x:v>Expense</x:v>
      </x:c>
      <x:c r="D17" t="str">
        <x:v>Operating Expense</x:v>
      </x:c>
      <x:c r="E17" t="str">
        <x:v>Debit</x:v>
      </x:c>
      <x:c r="F17" s="27" t="b">
        <x:v>1</x:v>
      </x:c>
    </x:row>
    <x:row r="18">
      <x:c r="A18" t="str">
        <x:v>6600</x:v>
      </x:c>
      <x:c r="B18" t="str">
        <x:v>G&amp;A Expense</x:v>
      </x:c>
      <x:c r="C18" t="str">
        <x:v>Expense</x:v>
      </x:c>
      <x:c r="D18" t="str">
        <x:v>Operating Expense</x:v>
      </x:c>
      <x:c r="E18" t="str">
        <x:v>Debit</x:v>
      </x:c>
      <x:c r="F18" s="27" t="b">
        <x:v>1</x:v>
      </x:c>
    </x:row>
    <x:row r="19">
      <x:c r="A19" t="str">
        <x:v>6700</x:v>
      </x:c>
      <x:c r="B19" t="str">
        <x:v>Depreciation Expense</x:v>
      </x:c>
      <x:c r="C19" t="str">
        <x:v>Expense</x:v>
      </x:c>
      <x:c r="D19" t="str">
        <x:v>Operating Expense</x:v>
      </x:c>
      <x:c r="E19" t="str">
        <x:v>Debit</x:v>
      </x:c>
      <x:c r="F19" s="27" t="b">
        <x:v>1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430cd6a161a408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10" hidden="0" customWidth="1"/>
  </x:cols>
  <x:sheetData>
    <x:row r="1">
      <x:c r="A1" s="22" t="str">
        <x:v>MASTER_Departments</x:v>
      </x:c>
    </x:row>
    <x:row r="2">
      <x:c r="A2" s="26" t="str">
        <x:v>Department_ID</x:v>
      </x:c>
      <x:c r="B2" s="26" t="str">
        <x:v>Department_Name</x:v>
      </x:c>
      <x:c r="C2" s="26" t="str">
        <x:v>Function</x:v>
      </x:c>
      <x:c r="D2" s="26" t="str">
        <x:v>Active</x:v>
      </x:c>
    </x:row>
    <x:row r="3">
      <x:c r="A3" t="str">
        <x:v>D001</x:v>
      </x:c>
      <x:c r="B3" t="str">
        <x:v>Sales</x:v>
      </x:c>
      <x:c r="C3" t="str">
        <x:v>Commercial</x:v>
      </x:c>
      <x:c r="D3" s="27" t="b">
        <x:v>1</x:v>
      </x:c>
    </x:row>
    <x:row r="4">
      <x:c r="A4" t="str">
        <x:v>D002</x:v>
      </x:c>
      <x:c r="B4" t="str">
        <x:v>Marketing</x:v>
      </x:c>
      <x:c r="C4" t="str">
        <x:v>Commercial</x:v>
      </x:c>
      <x:c r="D4" s="27" t="b">
        <x:v>1</x:v>
      </x:c>
    </x:row>
    <x:row r="5">
      <x:c r="A5" t="str">
        <x:v>D003</x:v>
      </x:c>
      <x:c r="B5" t="str">
        <x:v>Operations</x:v>
      </x:c>
      <x:c r="C5" t="str">
        <x:v>Operations</x:v>
      </x:c>
      <x:c r="D5" s="27" t="b">
        <x:v>1</x:v>
      </x:c>
    </x:row>
    <x:row r="6">
      <x:c r="A6" t="str">
        <x:v>D004</x:v>
      </x:c>
      <x:c r="B6" t="str">
        <x:v>Finance</x:v>
      </x:c>
      <x:c r="C6" t="str">
        <x:v>Corporate</x:v>
      </x:c>
      <x:c r="D6" s="27" t="b">
        <x:v>1</x:v>
      </x:c>
    </x:row>
    <x:row r="7">
      <x:c r="A7" t="str">
        <x:v>D005</x:v>
      </x:c>
      <x:c r="B7" t="str">
        <x:v>HR</x:v>
      </x:c>
      <x:c r="C7" t="str">
        <x:v>Corporate</x:v>
      </x:c>
      <x:c r="D7" s="27" t="b">
        <x:v>1</x:v>
      </x:c>
    </x:row>
    <x:row r="8">
      <x:c r="A8" t="str">
        <x:v>D006</x:v>
      </x:c>
      <x:c r="B8" t="str">
        <x:v>IT</x:v>
      </x:c>
      <x:c r="C8" t="str">
        <x:v>Corporate</x:v>
      </x:c>
      <x:c r="D8" s="27" t="b">
        <x:v>1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552395123e2b4eb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6" hidden="0" customWidth="1"/>
    <x:col min="4" max="4" width="16" hidden="0" customWidth="1"/>
    <x:col min="5" max="5" width="20" hidden="0" customWidth="1"/>
    <x:col min="6" max="6" width="10" hidden="0" customWidth="1"/>
  </x:cols>
  <x:sheetData>
    <x:row r="1">
      <x:c r="A1" s="22" t="str">
        <x:v>MASTER_Customers</x:v>
      </x:c>
    </x:row>
    <x:row r="2">
      <x:c r="A2" s="26" t="str">
        <x:v>Customer_ID</x:v>
      </x:c>
      <x:c r="B2" s="26" t="str">
        <x:v>Customer_Name</x:v>
      </x:c>
      <x:c r="C2" s="26" t="str">
        <x:v>Segment</x:v>
      </x:c>
      <x:c r="D2" s="26" t="str">
        <x:v>Payment_Terms</x:v>
      </x:c>
      <x:c r="E2" s="26" t="str">
        <x:v>Credit_Limit_USD</x:v>
      </x:c>
      <x:c r="F2" s="26" t="str">
        <x:v>Active</x:v>
      </x:c>
    </x:row>
    <x:row r="3">
      <x:c r="A3" t="str">
        <x:v>C001</x:v>
      </x:c>
      <x:c r="B3" t="str">
        <x:v>Orion Retail</x:v>
      </x:c>
      <x:c r="C3" t="str">
        <x:v>Retail</x:v>
      </x:c>
      <x:c r="D3" t="str">
        <x:v>Net 30</x:v>
      </x:c>
      <x:c r="E3" t="n">
        <x:v>50000</x:v>
      </x:c>
      <x:c r="F3" s="27" t="b">
        <x:v>1</x:v>
      </x:c>
    </x:row>
    <x:row r="4">
      <x:c r="A4" t="str">
        <x:v>C002</x:v>
      </x:c>
      <x:c r="B4" t="str">
        <x:v>Atlas Stores</x:v>
      </x:c>
      <x:c r="C4" t="str">
        <x:v>Retail</x:v>
      </x:c>
      <x:c r="D4" t="str">
        <x:v>Net 30</x:v>
      </x:c>
      <x:c r="E4" t="n">
        <x:v>65000</x:v>
      </x:c>
      <x:c r="F4" s="27" t="b">
        <x:v>1</x:v>
      </x:c>
    </x:row>
    <x:row r="5">
      <x:c r="A5" t="str">
        <x:v>C003</x:v>
      </x:c>
      <x:c r="B5" t="str">
        <x:v>Nova Wholesale</x:v>
      </x:c>
      <x:c r="C5" t="str">
        <x:v>Wholesale</x:v>
      </x:c>
      <x:c r="D5" t="str">
        <x:v>Net 45</x:v>
      </x:c>
      <x:c r="E5" t="n">
        <x:v>90000</x:v>
      </x:c>
      <x:c r="F5" s="27" t="b">
        <x:v>1</x:v>
      </x:c>
    </x:row>
    <x:row r="6">
      <x:c r="A6" t="str">
        <x:v>C004</x:v>
      </x:c>
      <x:c r="B6" t="str">
        <x:v>Zenith Mart</x:v>
      </x:c>
      <x:c r="C6" t="str">
        <x:v>Retail</x:v>
      </x:c>
      <x:c r="D6" t="str">
        <x:v>Net 30</x:v>
      </x:c>
      <x:c r="E6" t="n">
        <x:v>75000</x:v>
      </x:c>
      <x:c r="F6" s="27" t="b">
        <x:v>1</x:v>
      </x:c>
    </x:row>
    <x:row r="7">
      <x:c r="A7" t="str">
        <x:v>C005</x:v>
      </x:c>
      <x:c r="B7" t="str">
        <x:v>Summit Distribution</x:v>
      </x:c>
      <x:c r="C7" t="str">
        <x:v>Wholesale</x:v>
      </x:c>
      <x:c r="D7" t="str">
        <x:v>Net 45</x:v>
      </x:c>
      <x:c r="E7" t="n">
        <x:v>120000</x:v>
      </x:c>
      <x:c r="F7" s="27" t="b">
        <x:v>1</x:v>
      </x:c>
    </x:row>
    <x:row r="8">
      <x:c r="A8" t="str">
        <x:v>C006</x:v>
      </x:c>
      <x:c r="B8" t="str">
        <x:v>Vertex Superstores</x:v>
      </x:c>
      <x:c r="C8" t="str">
        <x:v>Retail</x:v>
      </x:c>
      <x:c r="D8" t="str">
        <x:v>Net 30</x:v>
      </x:c>
      <x:c r="E8" t="n">
        <x:v>80000</x:v>
      </x:c>
      <x:c r="F8" s="27" t="b">
        <x:v>1</x:v>
      </x:c>
    </x:row>
    <x:row r="9">
      <x:c r="A9" t="str">
        <x:v>C007</x:v>
      </x:c>
      <x:c r="B9" t="str">
        <x:v>BluePeak Trading</x:v>
      </x:c>
      <x:c r="C9" t="str">
        <x:v>Wholesale</x:v>
      </x:c>
      <x:c r="D9" t="str">
        <x:v>Net 30</x:v>
      </x:c>
      <x:c r="E9" t="n">
        <x:v>100000</x:v>
      </x:c>
      <x:c r="F9" s="27" t="b">
        <x:v>1</x:v>
      </x:c>
    </x:row>
    <x:row r="10">
      <x:c r="A10" t="str">
        <x:v>C008</x:v>
      </x:c>
      <x:c r="B10" t="str">
        <x:v>Urban Basket</x:v>
      </x:c>
      <x:c r="C10" t="str">
        <x:v>Retail</x:v>
      </x:c>
      <x:c r="D10" t="str">
        <x:v>Net 15</x:v>
      </x:c>
      <x:c r="E10" t="n">
        <x:v>45000</x:v>
      </x:c>
      <x:c r="F10" s="27" t="b">
        <x:v>1</x:v>
      </x:c>
    </x:row>
    <x:row r="11">
      <x:c r="A11" t="str">
        <x:v>C009</x:v>
      </x:c>
      <x:c r="B11" t="str">
        <x:v>Crescent Commerce</x:v>
      </x:c>
      <x:c r="C11" t="str">
        <x:v>Wholesale</x:v>
      </x:c>
      <x:c r="D11" t="str">
        <x:v>Net 45</x:v>
      </x:c>
      <x:c r="E11" t="n">
        <x:v>110000</x:v>
      </x:c>
      <x:c r="F11" s="27" t="b">
        <x:v>1</x:v>
      </x:c>
    </x:row>
    <x:row r="12">
      <x:c r="A12" t="str">
        <x:v>C010</x:v>
      </x:c>
      <x:c r="B12" t="str">
        <x:v>Pioneer Retail Group</x:v>
      </x:c>
      <x:c r="C12" t="str">
        <x:v>Retail</x:v>
      </x:c>
      <x:c r="D12" t="str">
        <x:v>Net 30</x:v>
      </x:c>
      <x:c r="E12" t="n">
        <x:v>95000</x:v>
      </x:c>
      <x:c r="F12" s="27" t="b">
        <x:v>1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e7a3d2da7a74d1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18" hidden="0" customWidth="1"/>
    <x:col min="4" max="4" width="16" hidden="0" customWidth="1"/>
    <x:col min="5" max="5" width="10" hidden="0" customWidth="1"/>
  </x:cols>
  <x:sheetData>
    <x:row r="1">
      <x:c r="A1" s="22" t="str">
        <x:v>MASTER_Vendors</x:v>
      </x:c>
    </x:row>
    <x:row r="2">
      <x:c r="A2" s="26" t="str">
        <x:v>Vendor_ID</x:v>
      </x:c>
      <x:c r="B2" s="26" t="str">
        <x:v>Vendor_Name</x:v>
      </x:c>
      <x:c r="C2" s="26" t="str">
        <x:v>Category</x:v>
      </x:c>
      <x:c r="D2" s="26" t="str">
        <x:v>Payment_Terms</x:v>
      </x:c>
      <x:c r="E2" s="26" t="str">
        <x:v>Active</x:v>
      </x:c>
    </x:row>
    <x:row r="3">
      <x:c r="A3" t="str">
        <x:v>V001</x:v>
      </x:c>
      <x:c r="B3" t="str">
        <x:v>Prime Supply Co</x:v>
      </x:c>
      <x:c r="C3" t="str">
        <x:v>Inventory</x:v>
      </x:c>
      <x:c r="D3" t="str">
        <x:v>Net 30</x:v>
      </x:c>
      <x:c r="E3" s="27" t="b">
        <x:v>1</x:v>
      </x:c>
    </x:row>
    <x:row r="4">
      <x:c r="A4" t="str">
        <x:v>V002</x:v>
      </x:c>
      <x:c r="B4" t="str">
        <x:v>FastRoute Logistics</x:v>
      </x:c>
      <x:c r="C4" t="str">
        <x:v>Logistics</x:v>
      </x:c>
      <x:c r="D4" t="str">
        <x:v>Net 30</x:v>
      </x:c>
      <x:c r="E4" s="27" t="b">
        <x:v>1</x:v>
      </x:c>
    </x:row>
    <x:row r="5">
      <x:c r="A5" t="str">
        <x:v>V003</x:v>
      </x:c>
      <x:c r="B5" t="str">
        <x:v>CloudCore Systems</x:v>
      </x:c>
      <x:c r="C5" t="str">
        <x:v>IT</x:v>
      </x:c>
      <x:c r="D5" t="str">
        <x:v>Net 15</x:v>
      </x:c>
      <x:c r="E5" s="27" t="b">
        <x:v>1</x:v>
      </x:c>
    </x:row>
    <x:row r="6">
      <x:c r="A6" t="str">
        <x:v>V004</x:v>
      </x:c>
      <x:c r="B6" t="str">
        <x:v>Metro Properties</x:v>
      </x:c>
      <x:c r="C6" t="str">
        <x:v>Facilities</x:v>
      </x:c>
      <x:c r="D6" t="str">
        <x:v>Net 30</x:v>
      </x:c>
      <x:c r="E6" s="27" t="b">
        <x:v>1</x:v>
      </x:c>
    </x:row>
    <x:row r="7">
      <x:c r="A7" t="str">
        <x:v>V005</x:v>
      </x:c>
      <x:c r="B7" t="str">
        <x:v>Apex Packaging</x:v>
      </x:c>
      <x:c r="C7" t="str">
        <x:v>Packaging</x:v>
      </x:c>
      <x:c r="D7" t="str">
        <x:v>Net 30</x:v>
      </x:c>
      <x:c r="E7" s="27" t="b">
        <x:v>1</x:v>
      </x:c>
    </x:row>
    <x:row r="8">
      <x:c r="A8" t="str">
        <x:v>V006</x:v>
      </x:c>
      <x:c r="B8" t="str">
        <x:v>PeopleFirst Services</x:v>
      </x:c>
      <x:c r="C8" t="str">
        <x:v>HR</x:v>
      </x:c>
      <x:c r="D8" t="str">
        <x:v>Net 15</x:v>
      </x:c>
      <x:c r="E8" s="27" t="b">
        <x:v>1</x:v>
      </x:c>
    </x:row>
    <x:row r="9">
      <x:c r="A9" t="str">
        <x:v>V007</x:v>
      </x:c>
      <x:c r="B9" t="str">
        <x:v>BrightLine Media</x:v>
      </x:c>
      <x:c r="C9" t="str">
        <x:v>Marketing</x:v>
      </x:c>
      <x:c r="D9" t="str">
        <x:v>Net 30</x:v>
      </x:c>
      <x:c r="E9" s="27" t="b">
        <x:v>1</x:v>
      </x:c>
    </x:row>
    <x:row r="10">
      <x:c r="A10" t="str">
        <x:v>V008</x:v>
      </x:c>
      <x:c r="B10" t="str">
        <x:v>OfficeHub Supplies</x:v>
      </x:c>
      <x:c r="C10" t="str">
        <x:v>Office</x:v>
      </x:c>
      <x:c r="D10" t="str">
        <x:v>Net 30</x:v>
      </x:c>
      <x:c r="E10" s="27" t="b">
        <x:v>1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c70480f463b4d3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8" hidden="0" customWidth="1"/>
    <x:col min="5" max="5" width="18" hidden="0" customWidth="1"/>
    <x:col min="6" max="6" width="10" hidden="0" customWidth="1"/>
  </x:cols>
  <x:sheetData>
    <x:row r="1">
      <x:c r="A1" s="22" t="str">
        <x:v>MASTER_Products</x:v>
      </x:c>
    </x:row>
    <x:row r="2">
      <x:c r="A2" s="26" t="str">
        <x:v>Product_ID</x:v>
      </x:c>
      <x:c r="B2" s="26" t="str">
        <x:v>Product_Name</x:v>
      </x:c>
      <x:c r="C2" s="26" t="str">
        <x:v>Product_Line</x:v>
      </x:c>
      <x:c r="D2" s="26" t="str">
        <x:v>Sales_Price_USD</x:v>
      </x:c>
      <x:c r="E2" s="26" t="str">
        <x:v>Standard_Cost_USD</x:v>
      </x:c>
      <x:c r="F2" s="26" t="str">
        <x:v>Active</x:v>
      </x:c>
    </x:row>
    <x:row r="3">
      <x:c r="A3" t="str">
        <x:v>P001</x:v>
      </x:c>
      <x:c r="B3" t="str">
        <x:v>Core Product</x:v>
      </x:c>
      <x:c r="C3" t="str">
        <x:v>Core</x:v>
      </x:c>
      <x:c r="D3" t="n">
        <x:v>35</x:v>
      </x:c>
      <x:c r="E3" t="n">
        <x:v>21</x:v>
      </x:c>
      <x:c r="F3" s="27" t="b">
        <x:v>1</x:v>
      </x:c>
    </x:row>
    <x:row r="4">
      <x:c r="A4" t="str">
        <x:v>P002</x:v>
      </x:c>
      <x:c r="B4" t="str">
        <x:v>Premium Product</x:v>
      </x:c>
      <x:c r="C4" t="str">
        <x:v>Premium</x:v>
      </x:c>
      <x:c r="D4" t="n">
        <x:v>55</x:v>
      </x:c>
      <x:c r="E4" t="n">
        <x:v>31</x:v>
      </x:c>
      <x:c r="F4" s="27" t="b">
        <x:v>1</x:v>
      </x:c>
    </x:row>
    <x:row r="5">
      <x:c r="A5" t="str">
        <x:v>P003</x:v>
      </x:c>
      <x:c r="B5" t="str">
        <x:v>Value Product</x:v>
      </x:c>
      <x:c r="C5" t="str">
        <x:v>Value</x:v>
      </x:c>
      <x:c r="D5" t="n">
        <x:v>24</x:v>
      </x:c>
      <x:c r="E5" t="n">
        <x:v>16</x:v>
      </x:c>
      <x:c r="F5" s="27" t="b">
        <x:v>1</x:v>
      </x:c>
    </x:row>
    <x:row r="6">
      <x:c r="A6" t="str">
        <x:v>P004</x:v>
      </x:c>
      <x:c r="B6" t="str">
        <x:v>Core Plus</x:v>
      </x:c>
      <x:c r="C6" t="str">
        <x:v>Core</x:v>
      </x:c>
      <x:c r="D6" t="n">
        <x:v>42</x:v>
      </x:c>
      <x:c r="E6" t="n">
        <x:v>25</x:v>
      </x:c>
      <x:c r="F6" s="27" t="b">
        <x:v>1</x:v>
      </x:c>
    </x:row>
    <x:row r="7">
      <x:c r="A7" t="str">
        <x:v>P005</x:v>
      </x:c>
      <x:c r="B7" t="str">
        <x:v>Premium Max</x:v>
      </x:c>
      <x:c r="C7" t="str">
        <x:v>Premium</x:v>
      </x:c>
      <x:c r="D7" t="n">
        <x:v>68</x:v>
      </x:c>
      <x:c r="E7" t="n">
        <x:v>39</x:v>
      </x:c>
      <x:c r="F7" s="27" t="b">
        <x:v>1</x:v>
      </x:c>
    </x:row>
    <x:row r="8">
      <x:c r="A8" t="str">
        <x:v>P006</x:v>
      </x:c>
      <x:c r="B8" t="str">
        <x:v>Value Mini</x:v>
      </x:c>
      <x:c r="C8" t="str">
        <x:v>Value</x:v>
      </x:c>
      <x:c r="D8" t="n">
        <x:v>18</x:v>
      </x:c>
      <x:c r="E8" t="n">
        <x:v>11</x:v>
      </x:c>
      <x:c r="F8" s="27" t="b">
        <x:v>1</x:v>
      </x:c>
    </x:row>
    <x:row r="9">
      <x:c r="A9" t="str">
        <x:v>P007</x:v>
      </x:c>
      <x:c r="B9" t="str">
        <x:v>Business Pack</x:v>
      </x:c>
      <x:c r="C9" t="str">
        <x:v>B2B</x:v>
      </x:c>
      <x:c r="D9" t="n">
        <x:v>95</x:v>
      </x:c>
      <x:c r="E9" t="n">
        <x:v>57</x:v>
      </x:c>
      <x:c r="F9" s="27" t="b">
        <x:v>1</x:v>
      </x:c>
    </x:row>
    <x:row r="10">
      <x:c r="A10" t="str">
        <x:v>P008</x:v>
      </x:c>
      <x:c r="B10" t="str">
        <x:v>Enterprise Pack</x:v>
      </x:c>
      <x:c r="C10" t="str">
        <x:v>B2B</x:v>
      </x:c>
      <x:c r="D10" t="n">
        <x:v>145</x:v>
      </x:c>
      <x:c r="E10" t="n">
        <x:v>86</x:v>
      </x:c>
      <x:c r="F10" s="27" t="b">
        <x:v>1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757c3ddef5c424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0" hidden="0" customWidth="1"/>
    <x:col min="6" max="6" width="18" hidden="0" customWidth="1"/>
    <x:col min="7" max="7" width="12" hidden="0" customWidth="1"/>
    <x:col min="8" max="8" width="16" hidden="0" customWidth="1"/>
    <x:col min="9" max="9" width="18" hidden="0" customWidth="1"/>
    <x:col min="10" max="10" width="14" hidden="0" customWidth="1"/>
    <x:col min="11" max="11" width="16" hidden="0" customWidth="1"/>
  </x:cols>
  <x:sheetData>
    <x:row r="1">
      <x:c r="A1" s="70" t="str">
        <x:v>TXN_Sales_Invoices</x:v>
      </x:c>
    </x:row>
    <x:row r="2">
      <x:c r="A2" s="26" t="str">
        <x:v>Invoice_ID</x:v>
      </x:c>
      <x:c r="B2" s="26" t="str">
        <x:v>Invoice_Date</x:v>
      </x:c>
      <x:c r="C2" s="26" t="str">
        <x:v>Customer_ID</x:v>
      </x:c>
      <x:c r="D2" s="26" t="str">
        <x:v>Product_ID</x:v>
      </x:c>
      <x:c r="E2" s="26" t="str">
        <x:v>Qty</x:v>
      </x:c>
      <x:c r="F2" s="26" t="str">
        <x:v>Unit_Price_USD</x:v>
      </x:c>
      <x:c r="G2" s="26" t="str">
        <x:v>Tax_Rate</x:v>
      </x:c>
      <x:c r="H2" s="26" t="str">
        <x:v>Department_ID</x:v>
      </x:c>
      <x:c r="I2" s="26" t="str">
        <x:v>Approval_Status</x:v>
      </x:c>
      <x:c r="J2" s="26" t="str">
        <x:v>Due_Date</x:v>
      </x:c>
      <x:c r="K2" s="26" t="str">
        <x:v>Payment_Status</x:v>
      </x:c>
    </x:row>
    <x:row r="3">
      <x:c r="A3" s="16" t="str">
        <x:v>SI-260001</x:v>
      </x:c>
      <x:c r="B3" s="18" t="n">
        <x:v>46024</x:v>
      </x:c>
      <x:c r="C3" s="16" t="str">
        <x:v>C002</x:v>
      </x:c>
      <x:c r="D3" s="16" t="str">
        <x:v>P001</x:v>
      </x:c>
      <x:c r="E3" s="38" t="n">
        <x:v>839</x:v>
      </x:c>
      <x:c r="F3" s="38" t="n">
        <x:v>34.47</x:v>
      </x:c>
      <x:c r="G3" s="20" t="n">
        <x:v>0.05</x:v>
      </x:c>
      <x:c r="H3" s="16" t="str">
        <x:v>D001</x:v>
      </x:c>
      <x:c r="I3" s="16" t="str">
        <x:v>Approved</x:v>
      </x:c>
      <x:c r="J3" s="18" t="n">
        <x:v>46054</x:v>
      </x:c>
      <x:c r="K3" s="16" t="str">
        <x:v>Paid</x:v>
      </x:c>
    </x:row>
    <x:row r="4">
      <x:c r="A4" s="16" t="str">
        <x:v>SI-260002</x:v>
      </x:c>
      <x:c r="B4" s="18" t="n">
        <x:v>46025</x:v>
      </x:c>
      <x:c r="C4" s="16" t="str">
        <x:v>C003</x:v>
      </x:c>
      <x:c r="D4" s="16" t="str">
        <x:v>P002</x:v>
      </x:c>
      <x:c r="E4" s="38" t="n">
        <x:v>772</x:v>
      </x:c>
      <x:c r="F4" s="38" t="n">
        <x:v>56.47</x:v>
      </x:c>
      <x:c r="G4" s="20" t="n">
        <x:v>0.05</x:v>
      </x:c>
      <x:c r="H4" s="16" t="str">
        <x:v>D001</x:v>
      </x:c>
      <x:c r="I4" s="16" t="str">
        <x:v>Approved</x:v>
      </x:c>
      <x:c r="J4" s="18" t="n">
        <x:v>46070</x:v>
      </x:c>
      <x:c r="K4" s="16" t="str">
        <x:v>Paid</x:v>
      </x:c>
    </x:row>
    <x:row r="5">
      <x:c r="A5" s="16" t="str">
        <x:v>SI-260003</x:v>
      </x:c>
      <x:c r="B5" s="18" t="n">
        <x:v>46026</x:v>
      </x:c>
      <x:c r="C5" s="16" t="str">
        <x:v>C010</x:v>
      </x:c>
      <x:c r="D5" s="16" t="str">
        <x:v>P007</x:v>
      </x:c>
      <x:c r="E5" s="38" t="n">
        <x:v>112</x:v>
      </x:c>
      <x:c r="F5" s="38" t="n">
        <x:v>91.45</x:v>
      </x:c>
      <x:c r="G5" s="20" t="n">
        <x:v>0.05</x:v>
      </x:c>
      <x:c r="H5" s="16" t="str">
        <x:v>D001</x:v>
      </x:c>
      <x:c r="I5" s="16" t="str">
        <x:v>Approved</x:v>
      </x:c>
      <x:c r="J5" s="18" t="n">
        <x:v>46056</x:v>
      </x:c>
      <x:c r="K5" s="16" t="str">
        <x:v>Paid</x:v>
      </x:c>
    </x:row>
    <x:row r="6">
      <x:c r="A6" s="16" t="str">
        <x:v>SI-260004</x:v>
      </x:c>
      <x:c r="B6" s="18" t="n">
        <x:v>46027</x:v>
      </x:c>
      <x:c r="C6" s="16" t="str">
        <x:v>C004</x:v>
      </x:c>
      <x:c r="D6" s="16" t="str">
        <x:v>P001</x:v>
      </x:c>
      <x:c r="E6" s="38" t="n">
        <x:v>654</x:v>
      </x:c>
      <x:c r="F6" s="38" t="n">
        <x:v>34.23</x:v>
      </x:c>
      <x:c r="G6" s="20" t="n">
        <x:v>0.05</x:v>
      </x:c>
      <x:c r="H6" s="16" t="str">
        <x:v>D001</x:v>
      </x:c>
      <x:c r="I6" s="16" t="str">
        <x:v>Approved</x:v>
      </x:c>
      <x:c r="J6" s="18" t="n">
        <x:v>46057</x:v>
      </x:c>
      <x:c r="K6" s="16" t="str">
        <x:v>Open</x:v>
      </x:c>
    </x:row>
    <x:row r="7">
      <x:c r="A7" s="16" t="str">
        <x:v>SI-260005</x:v>
      </x:c>
      <x:c r="B7" s="18" t="n">
        <x:v>46028</x:v>
      </x:c>
      <x:c r="C7" s="16" t="str">
        <x:v>C004</x:v>
      </x:c>
      <x:c r="D7" s="16" t="str">
        <x:v>P008</x:v>
      </x:c>
      <x:c r="E7" s="38" t="n">
        <x:v>683</x:v>
      </x:c>
      <x:c r="F7" s="38" t="n">
        <x:v>142.83</x:v>
      </x:c>
      <x:c r="G7" s="20" t="n">
        <x:v>0.05</x:v>
      </x:c>
      <x:c r="H7" s="16" t="str">
        <x:v>D001</x:v>
      </x:c>
      <x:c r="I7" s="16" t="str">
        <x:v>Approved</x:v>
      </x:c>
      <x:c r="J7" s="18" t="n">
        <x:v>46058</x:v>
      </x:c>
      <x:c r="K7" s="16" t="str">
        <x:v>Paid</x:v>
      </x:c>
    </x:row>
    <x:row r="8">
      <x:c r="A8" s="16" t="str">
        <x:v>SI-260006</x:v>
      </x:c>
      <x:c r="B8" s="18" t="n">
        <x:v>46029</x:v>
      </x:c>
      <x:c r="C8" s="16" t="str">
        <x:v>C003</x:v>
      </x:c>
      <x:c r="D8" s="16" t="str">
        <x:v>P007</x:v>
      </x:c>
      <x:c r="E8" s="38" t="n">
        <x:v>428</x:v>
      </x:c>
      <x:c r="F8" s="38" t="n">
        <x:v>93.58</x:v>
      </x:c>
      <x:c r="G8" s="20" t="n">
        <x:v>0.05</x:v>
      </x:c>
      <x:c r="H8" s="16" t="str">
        <x:v>D001</x:v>
      </x:c>
      <x:c r="I8" s="16" t="str">
        <x:v>Approved</x:v>
      </x:c>
      <x:c r="J8" s="18" t="n">
        <x:v>46074</x:v>
      </x:c>
      <x:c r="K8" s="16" t="str">
        <x:v>Paid</x:v>
      </x:c>
    </x:row>
    <x:row r="9">
      <x:c r="A9" s="16" t="str">
        <x:v>SI-260007</x:v>
      </x:c>
      <x:c r="B9" s="18" t="n">
        <x:v>46030</x:v>
      </x:c>
      <x:c r="C9" s="16" t="str">
        <x:v>C006</x:v>
      </x:c>
      <x:c r="D9" s="16" t="str">
        <x:v>P002</x:v>
      </x:c>
      <x:c r="E9" s="38" t="n">
        <x:v>174</x:v>
      </x:c>
      <x:c r="F9" s="38" t="n">
        <x:v>54.68</x:v>
      </x:c>
      <x:c r="G9" s="20" t="n">
        <x:v>0.05</x:v>
      </x:c>
      <x:c r="H9" s="16" t="str">
        <x:v>D001</x:v>
      </x:c>
      <x:c r="I9" s="16" t="str">
        <x:v>Approved</x:v>
      </x:c>
      <x:c r="J9" s="18" t="n">
        <x:v>46060</x:v>
      </x:c>
      <x:c r="K9" s="16" t="str">
        <x:v>Part Paid</x:v>
      </x:c>
    </x:row>
    <x:row r="10">
      <x:c r="A10" s="16" t="str">
        <x:v>SI-260008</x:v>
      </x:c>
      <x:c r="B10" s="18" t="n">
        <x:v>46031</x:v>
      </x:c>
      <x:c r="C10" s="16" t="str">
        <x:v>C006</x:v>
      </x:c>
      <x:c r="D10" s="16" t="str">
        <x:v>P005</x:v>
      </x:c>
      <x:c r="E10" s="38" t="n">
        <x:v>124</x:v>
      </x:c>
      <x:c r="F10" s="38" t="n">
        <x:v>69.75</x:v>
      </x:c>
      <x:c r="G10" s="20" t="n">
        <x:v>0.05</x:v>
      </x:c>
      <x:c r="H10" s="16" t="str">
        <x:v>D001</x:v>
      </x:c>
      <x:c r="I10" s="16" t="str">
        <x:v>Approved</x:v>
      </x:c>
      <x:c r="J10" s="18" t="n">
        <x:v>46061</x:v>
      </x:c>
      <x:c r="K10" s="16" t="str">
        <x:v>Paid</x:v>
      </x:c>
    </x:row>
    <x:row r="11">
      <x:c r="A11" s="16" t="str">
        <x:v>SI-260009</x:v>
      </x:c>
      <x:c r="B11" s="18" t="n">
        <x:v>46032</x:v>
      </x:c>
      <x:c r="C11" s="16" t="str">
        <x:v>C007</x:v>
      </x:c>
      <x:c r="D11" s="16" t="str">
        <x:v>P002</x:v>
      </x:c>
      <x:c r="E11" s="38" t="n">
        <x:v>645</x:v>
      </x:c>
      <x:c r="F11" s="38" t="n">
        <x:v>54.25</x:v>
      </x:c>
      <x:c r="G11" s="20" t="n">
        <x:v>0.05</x:v>
      </x:c>
      <x:c r="H11" s="16" t="str">
        <x:v>D001</x:v>
      </x:c>
      <x:c r="I11" s="16" t="str">
        <x:v>Approved</x:v>
      </x:c>
      <x:c r="J11" s="18" t="n">
        <x:v>46062</x:v>
      </x:c>
      <x:c r="K11" s="16" t="str">
        <x:v>Part Paid</x:v>
      </x:c>
    </x:row>
    <x:row r="12">
      <x:c r="A12" s="16" t="str">
        <x:v>SI-260010</x:v>
      </x:c>
      <x:c r="B12" s="18" t="n">
        <x:v>46033</x:v>
      </x:c>
      <x:c r="C12" s="16" t="str">
        <x:v>C010</x:v>
      </x:c>
      <x:c r="D12" s="16" t="str">
        <x:v>P004</x:v>
      </x:c>
      <x:c r="E12" s="38" t="n">
        <x:v>801</x:v>
      </x:c>
      <x:c r="F12" s="38" t="n">
        <x:v>40.58</x:v>
      </x:c>
      <x:c r="G12" s="20" t="n">
        <x:v>0.05</x:v>
      </x:c>
      <x:c r="H12" s="16" t="str">
        <x:v>D001</x:v>
      </x:c>
      <x:c r="I12" s="16" t="str">
        <x:v>Approved</x:v>
      </x:c>
      <x:c r="J12" s="18" t="n">
        <x:v>46063</x:v>
      </x:c>
      <x:c r="K12" s="16" t="str">
        <x:v>Paid</x:v>
      </x:c>
    </x:row>
    <x:row r="13">
      <x:c r="A13" s="16" t="str">
        <x:v>SI-260011</x:v>
      </x:c>
      <x:c r="B13" s="18" t="n">
        <x:v>46034</x:v>
      </x:c>
      <x:c r="C13" s="16" t="str">
        <x:v>C005</x:v>
      </x:c>
      <x:c r="D13" s="16" t="str">
        <x:v>P002</x:v>
      </x:c>
      <x:c r="E13" s="38" t="n">
        <x:v>318</x:v>
      </x:c>
      <x:c r="F13" s="38" t="n">
        <x:v>57.09</x:v>
      </x:c>
      <x:c r="G13" s="20" t="n">
        <x:v>0.05</x:v>
      </x:c>
      <x:c r="H13" s="16" t="str">
        <x:v>D001</x:v>
      </x:c>
      <x:c r="I13" s="16" t="str">
        <x:v>Approved</x:v>
      </x:c>
      <x:c r="J13" s="18" t="n">
        <x:v>46079</x:v>
      </x:c>
      <x:c r="K13" s="16" t="str">
        <x:v>Open</x:v>
      </x:c>
    </x:row>
    <x:row r="14">
      <x:c r="A14" s="16" t="str">
        <x:v>SI-260012</x:v>
      </x:c>
      <x:c r="B14" s="18" t="n">
        <x:v>46035</x:v>
      </x:c>
      <x:c r="C14" s="16" t="str">
        <x:v>C005</x:v>
      </x:c>
      <x:c r="D14" s="16" t="str">
        <x:v>P008</x:v>
      </x:c>
      <x:c r="E14" s="38" t="n">
        <x:v>730</x:v>
      </x:c>
      <x:c r="F14" s="38" t="n">
        <x:v>150.09</x:v>
      </x:c>
      <x:c r="G14" s="20" t="n">
        <x:v>0.05</x:v>
      </x:c>
      <x:c r="H14" s="16" t="str">
        <x:v>D001</x:v>
      </x:c>
      <x:c r="I14" s="16" t="str">
        <x:v>Approved</x:v>
      </x:c>
      <x:c r="J14" s="18" t="n">
        <x:v>46080</x:v>
      </x:c>
      <x:c r="K14" s="16" t="str">
        <x:v>Paid</x:v>
      </x:c>
    </x:row>
    <x:row r="15">
      <x:c r="A15" s="16" t="str">
        <x:v>SI-260013</x:v>
      </x:c>
      <x:c r="B15" s="18" t="n">
        <x:v>46036</x:v>
      </x:c>
      <x:c r="C15" s="16" t="str">
        <x:v>C006</x:v>
      </x:c>
      <x:c r="D15" s="16" t="str">
        <x:v>P006</x:v>
      </x:c>
      <x:c r="E15" s="38" t="n">
        <x:v>294</x:v>
      </x:c>
      <x:c r="F15" s="38" t="n">
        <x:v>18.37</x:v>
      </x:c>
      <x:c r="G15" s="20" t="n">
        <x:v>0.05</x:v>
      </x:c>
      <x:c r="H15" s="16" t="str">
        <x:v>D001</x:v>
      </x:c>
      <x:c r="I15" s="16" t="str">
        <x:v>Approved</x:v>
      </x:c>
      <x:c r="J15" s="18" t="n">
        <x:v>46066</x:v>
      </x:c>
      <x:c r="K15" s="16" t="str">
        <x:v>Paid</x:v>
      </x:c>
    </x:row>
    <x:row r="16">
      <x:c r="A16" s="16" t="str">
        <x:v>SI-260014</x:v>
      </x:c>
      <x:c r="B16" s="18" t="n">
        <x:v>46037</x:v>
      </x:c>
      <x:c r="C16" s="16" t="str">
        <x:v>C010</x:v>
      </x:c>
      <x:c r="D16" s="16" t="str">
        <x:v>P003</x:v>
      </x:c>
      <x:c r="E16" s="38" t="n">
        <x:v>626</x:v>
      </x:c>
      <x:c r="F16" s="38" t="n">
        <x:v>24.61</x:v>
      </x:c>
      <x:c r="G16" s="20" t="n">
        <x:v>0.05</x:v>
      </x:c>
      <x:c r="H16" s="16" t="str">
        <x:v>D001</x:v>
      </x:c>
      <x:c r="I16" s="16" t="str">
        <x:v>Approved</x:v>
      </x:c>
      <x:c r="J16" s="18" t="n">
        <x:v>46067</x:v>
      </x:c>
      <x:c r="K16" s="16" t="str">
        <x:v>Paid</x:v>
      </x:c>
    </x:row>
    <x:row r="17">
      <x:c r="A17" s="16" t="str">
        <x:v>SI-260015</x:v>
      </x:c>
      <x:c r="B17" s="18" t="n">
        <x:v>46038</x:v>
      </x:c>
      <x:c r="C17" s="16" t="str">
        <x:v>C008</x:v>
      </x:c>
      <x:c r="D17" s="16" t="str">
        <x:v>P007</x:v>
      </x:c>
      <x:c r="E17" s="38" t="n">
        <x:v>356</x:v>
      </x:c>
      <x:c r="F17" s="38" t="n">
        <x:v>99.66</x:v>
      </x:c>
      <x:c r="G17" s="20" t="n">
        <x:v>0.05</x:v>
      </x:c>
      <x:c r="H17" s="16" t="str">
        <x:v>D001</x:v>
      </x:c>
      <x:c r="I17" s="16" t="str">
        <x:v>Approved</x:v>
      </x:c>
      <x:c r="J17" s="18" t="n">
        <x:v>46053</x:v>
      </x:c>
      <x:c r="K17" s="16" t="str">
        <x:v>Paid</x:v>
      </x:c>
    </x:row>
    <x:row r="18">
      <x:c r="A18" s="16" t="str">
        <x:v>SI-260016</x:v>
      </x:c>
      <x:c r="B18" s="18" t="n">
        <x:v>46039</x:v>
      </x:c>
      <x:c r="C18" s="16" t="str">
        <x:v>C006</x:v>
      </x:c>
      <x:c r="D18" s="16" t="str">
        <x:v>P001</x:v>
      </x:c>
      <x:c r="E18" s="38" t="n">
        <x:v>314</x:v>
      </x:c>
      <x:c r="F18" s="38" t="n">
        <x:v>36.19</x:v>
      </x:c>
      <x:c r="G18" s="20" t="n">
        <x:v>0.05</x:v>
      </x:c>
      <x:c r="H18" s="16" t="str">
        <x:v>D001</x:v>
      </x:c>
      <x:c r="I18" s="16" t="str">
        <x:v>Approved</x:v>
      </x:c>
      <x:c r="J18" s="18" t="n">
        <x:v>46069</x:v>
      </x:c>
      <x:c r="K18" s="16" t="str">
        <x:v>Part Paid</x:v>
      </x:c>
    </x:row>
    <x:row r="19">
      <x:c r="A19" s="16" t="str">
        <x:v>SI-260017</x:v>
      </x:c>
      <x:c r="B19" s="18" t="n">
        <x:v>46040</x:v>
      </x:c>
      <x:c r="C19" s="16" t="str">
        <x:v>C007</x:v>
      </x:c>
      <x:c r="D19" s="16" t="str">
        <x:v>P005</x:v>
      </x:c>
      <x:c r="E19" s="38" t="n">
        <x:v>147</x:v>
      </x:c>
      <x:c r="F19" s="38" t="n">
        <x:v>66.57</x:v>
      </x:c>
      <x:c r="G19" s="20" t="n">
        <x:v>0.05</x:v>
      </x:c>
      <x:c r="H19" s="16" t="str">
        <x:v>D001</x:v>
      </x:c>
      <x:c r="I19" s="16" t="str">
        <x:v>Approved</x:v>
      </x:c>
      <x:c r="J19" s="18" t="n">
        <x:v>46070</x:v>
      </x:c>
      <x:c r="K19" s="16" t="str">
        <x:v>Part Paid</x:v>
      </x:c>
    </x:row>
    <x:row r="20">
      <x:c r="A20" s="16" t="str">
        <x:v>SI-260018</x:v>
      </x:c>
      <x:c r="B20" s="18" t="n">
        <x:v>46041</x:v>
      </x:c>
      <x:c r="C20" s="16" t="str">
        <x:v>C004</x:v>
      </x:c>
      <x:c r="D20" s="16" t="str">
        <x:v>P008</x:v>
      </x:c>
      <x:c r="E20" s="38" t="n">
        <x:v>485</x:v>
      </x:c>
      <x:c r="F20" s="38" t="n">
        <x:v>150.75</x:v>
      </x:c>
      <x:c r="G20" s="20" t="n">
        <x:v>0.05</x:v>
      </x:c>
      <x:c r="H20" s="16" t="str">
        <x:v>D001</x:v>
      </x:c>
      <x:c r="I20" s="16" t="str">
        <x:v>Approved</x:v>
      </x:c>
      <x:c r="J20" s="18" t="n">
        <x:v>46071</x:v>
      </x:c>
      <x:c r="K20" s="16" t="str">
        <x:v>Open</x:v>
      </x:c>
    </x:row>
    <x:row r="21">
      <x:c r="A21" s="16" t="str">
        <x:v>SI-260019</x:v>
      </x:c>
      <x:c r="B21" s="18" t="n">
        <x:v>46042</x:v>
      </x:c>
      <x:c r="C21" s="16" t="str">
        <x:v>C003</x:v>
      </x:c>
      <x:c r="D21" s="16" t="str">
        <x:v>P005</x:v>
      </x:c>
      <x:c r="E21" s="38" t="n">
        <x:v>222</x:v>
      </x:c>
      <x:c r="F21" s="38" t="n">
        <x:v>66.79</x:v>
      </x:c>
      <x:c r="G21" s="20" t="n">
        <x:v>0.05</x:v>
      </x:c>
      <x:c r="H21" s="16" t="str">
        <x:v>D001</x:v>
      </x:c>
      <x:c r="I21" s="16" t="str">
        <x:v>Approved</x:v>
      </x:c>
      <x:c r="J21" s="18" t="n">
        <x:v>46087</x:v>
      </x:c>
      <x:c r="K21" s="16" t="str">
        <x:v>Part Paid</x:v>
      </x:c>
    </x:row>
    <x:row r="22">
      <x:c r="A22" s="16" t="str">
        <x:v>SI-260020</x:v>
      </x:c>
      <x:c r="B22" s="18" t="n">
        <x:v>46043</x:v>
      </x:c>
      <x:c r="C22" s="16" t="str">
        <x:v>C010</x:v>
      </x:c>
      <x:c r="D22" s="16" t="str">
        <x:v>P007</x:v>
      </x:c>
      <x:c r="E22" s="38" t="n">
        <x:v>677</x:v>
      </x:c>
      <x:c r="F22" s="38" t="n">
        <x:v>94.61</x:v>
      </x:c>
      <x:c r="G22" s="20" t="n">
        <x:v>0.05</x:v>
      </x:c>
      <x:c r="H22" s="16" t="str">
        <x:v>D001</x:v>
      </x:c>
      <x:c r="I22" s="16" t="str">
        <x:v>Approved</x:v>
      </x:c>
      <x:c r="J22" s="18" t="n">
        <x:v>46073</x:v>
      </x:c>
      <x:c r="K22" s="16" t="str">
        <x:v>Paid</x:v>
      </x:c>
    </x:row>
    <x:row r="23">
      <x:c r="A23" s="16" t="str">
        <x:v>SI-260021</x:v>
      </x:c>
      <x:c r="B23" s="18" t="n">
        <x:v>46055</x:v>
      </x:c>
      <x:c r="C23" s="16" t="str">
        <x:v>C003</x:v>
      </x:c>
      <x:c r="D23" s="16" t="str">
        <x:v>P008</x:v>
      </x:c>
      <x:c r="E23" s="38" t="n">
        <x:v>173</x:v>
      </x:c>
      <x:c r="F23" s="38" t="n">
        <x:v>149.06</x:v>
      </x:c>
      <x:c r="G23" s="20" t="n">
        <x:v>0.05</x:v>
      </x:c>
      <x:c r="H23" s="16" t="str">
        <x:v>D001</x:v>
      </x:c>
      <x:c r="I23" s="16" t="str">
        <x:v>Approved</x:v>
      </x:c>
      <x:c r="J23" s="18" t="n">
        <x:v>46100</x:v>
      </x:c>
      <x:c r="K23" s="16" t="str">
        <x:v>Paid</x:v>
      </x:c>
    </x:row>
    <x:row r="24">
      <x:c r="A24" s="16" t="str">
        <x:v>SI-260022</x:v>
      </x:c>
      <x:c r="B24" s="18" t="n">
        <x:v>46056</x:v>
      </x:c>
      <x:c r="C24" s="16" t="str">
        <x:v>C003</x:v>
      </x:c>
      <x:c r="D24" s="16" t="str">
        <x:v>P003</x:v>
      </x:c>
      <x:c r="E24" s="38" t="n">
        <x:v>891</x:v>
      </x:c>
      <x:c r="F24" s="38" t="n">
        <x:v>24.51</x:v>
      </x:c>
      <x:c r="G24" s="20" t="n">
        <x:v>0.05</x:v>
      </x:c>
      <x:c r="H24" s="16" t="str">
        <x:v>D001</x:v>
      </x:c>
      <x:c r="I24" s="16" t="str">
        <x:v>Approved</x:v>
      </x:c>
      <x:c r="J24" s="18" t="n">
        <x:v>46101</x:v>
      </x:c>
      <x:c r="K24" s="16" t="str">
        <x:v>Paid</x:v>
      </x:c>
    </x:row>
    <x:row r="25">
      <x:c r="A25" s="16" t="str">
        <x:v>SI-260023</x:v>
      </x:c>
      <x:c r="B25" s="18" t="n">
        <x:v>46057</x:v>
      </x:c>
      <x:c r="C25" s="16" t="str">
        <x:v>C007</x:v>
      </x:c>
      <x:c r="D25" s="16" t="str">
        <x:v>P007</x:v>
      </x:c>
      <x:c r="E25" s="38" t="n">
        <x:v>690</x:v>
      </x:c>
      <x:c r="F25" s="38" t="n">
        <x:v>99.72</x:v>
      </x:c>
      <x:c r="G25" s="20" t="n">
        <x:v>0.05</x:v>
      </x:c>
      <x:c r="H25" s="16" t="str">
        <x:v>D001</x:v>
      </x:c>
      <x:c r="I25" s="16" t="str">
        <x:v>Approved</x:v>
      </x:c>
      <x:c r="J25" s="18" t="n">
        <x:v>46087</x:v>
      </x:c>
      <x:c r="K25" s="16" t="str">
        <x:v>Part Paid</x:v>
      </x:c>
    </x:row>
    <x:row r="26">
      <x:c r="A26" s="16" t="str">
        <x:v>SI-260024</x:v>
      </x:c>
      <x:c r="B26" s="18" t="n">
        <x:v>46058</x:v>
      </x:c>
      <x:c r="C26" s="16" t="str">
        <x:v>C009</x:v>
      </x:c>
      <x:c r="D26" s="16" t="str">
        <x:v>P001</x:v>
      </x:c>
      <x:c r="E26" s="38" t="n">
        <x:v>776</x:v>
      </x:c>
      <x:c r="F26" s="38" t="n">
        <x:v>35.87</x:v>
      </x:c>
      <x:c r="G26" s="20" t="n">
        <x:v>0.05</x:v>
      </x:c>
      <x:c r="H26" s="16" t="str">
        <x:v>D001</x:v>
      </x:c>
      <x:c r="I26" s="16" t="str">
        <x:v>Approved</x:v>
      </x:c>
      <x:c r="J26" s="18" t="n">
        <x:v>46103</x:v>
      </x:c>
      <x:c r="K26" s="16" t="str">
        <x:v>Part Paid</x:v>
      </x:c>
    </x:row>
    <x:row r="27">
      <x:c r="A27" s="16" t="str">
        <x:v>SI-260025</x:v>
      </x:c>
      <x:c r="B27" s="18" t="n">
        <x:v>46059</x:v>
      </x:c>
      <x:c r="C27" s="16" t="str">
        <x:v>C006</x:v>
      </x:c>
      <x:c r="D27" s="16" t="str">
        <x:v>P002</x:v>
      </x:c>
      <x:c r="E27" s="38" t="n">
        <x:v>380</x:v>
      </x:c>
      <x:c r="F27" s="38" t="n">
        <x:v>54.95</x:v>
      </x:c>
      <x:c r="G27" s="20" t="n">
        <x:v>0.05</x:v>
      </x:c>
      <x:c r="H27" s="16" t="str">
        <x:v>D001</x:v>
      </x:c>
      <x:c r="I27" s="16" t="str">
        <x:v>Approved</x:v>
      </x:c>
      <x:c r="J27" s="18" t="n">
        <x:v>46089</x:v>
      </x:c>
      <x:c r="K27" s="16" t="str">
        <x:v>Open</x:v>
      </x:c>
    </x:row>
    <x:row r="28">
      <x:c r="A28" s="16" t="str">
        <x:v>SI-260026</x:v>
      </x:c>
      <x:c r="B28" s="18" t="n">
        <x:v>46060</x:v>
      </x:c>
      <x:c r="C28" s="16" t="str">
        <x:v>C001</x:v>
      </x:c>
      <x:c r="D28" s="16" t="str">
        <x:v>P005</x:v>
      </x:c>
      <x:c r="E28" s="38" t="n">
        <x:v>592</x:v>
      </x:c>
      <x:c r="F28" s="38" t="n">
        <x:v>69.94</x:v>
      </x:c>
      <x:c r="G28" s="20" t="n">
        <x:v>0.05</x:v>
      </x:c>
      <x:c r="H28" s="16" t="str">
        <x:v>D001</x:v>
      </x:c>
      <x:c r="I28" s="16" t="str">
        <x:v>Approved</x:v>
      </x:c>
      <x:c r="J28" s="18" t="n">
        <x:v>46090</x:v>
      </x:c>
      <x:c r="K28" s="16" t="str">
        <x:v>Paid</x:v>
      </x:c>
    </x:row>
    <x:row r="29">
      <x:c r="A29" s="16" t="str">
        <x:v>SI-260027</x:v>
      </x:c>
      <x:c r="B29" s="18" t="n">
        <x:v>46061</x:v>
      </x:c>
      <x:c r="C29" s="16" t="str">
        <x:v>C005</x:v>
      </x:c>
      <x:c r="D29" s="16" t="str">
        <x:v>P004</x:v>
      </x:c>
      <x:c r="E29" s="38" t="n">
        <x:v>236</x:v>
      </x:c>
      <x:c r="F29" s="38" t="n">
        <x:v>41.73</x:v>
      </x:c>
      <x:c r="G29" s="20" t="n">
        <x:v>0.05</x:v>
      </x:c>
      <x:c r="H29" s="16" t="str">
        <x:v>D001</x:v>
      </x:c>
      <x:c r="I29" s="16" t="str">
        <x:v>Approved</x:v>
      </x:c>
      <x:c r="J29" s="18" t="n">
        <x:v>46106</x:v>
      </x:c>
      <x:c r="K29" s="16" t="str">
        <x:v>Paid</x:v>
      </x:c>
    </x:row>
    <x:row r="30">
      <x:c r="A30" s="16" t="str">
        <x:v>SI-260028</x:v>
      </x:c>
      <x:c r="B30" s="18" t="n">
        <x:v>46062</x:v>
      </x:c>
      <x:c r="C30" s="16" t="str">
        <x:v>C009</x:v>
      </x:c>
      <x:c r="D30" s="16" t="str">
        <x:v>P001</x:v>
      </x:c>
      <x:c r="E30" s="38" t="n">
        <x:v>693</x:v>
      </x:c>
      <x:c r="F30" s="38" t="n">
        <x:v>34.62</x:v>
      </x:c>
      <x:c r="G30" s="20" t="n">
        <x:v>0.05</x:v>
      </x:c>
      <x:c r="H30" s="16" t="str">
        <x:v>D001</x:v>
      </x:c>
      <x:c r="I30" s="16" t="str">
        <x:v>Approved</x:v>
      </x:c>
      <x:c r="J30" s="18" t="n">
        <x:v>46107</x:v>
      </x:c>
      <x:c r="K30" s="16" t="str">
        <x:v>Paid</x:v>
      </x:c>
    </x:row>
    <x:row r="31">
      <x:c r="A31" s="16" t="str">
        <x:v>SI-260029</x:v>
      </x:c>
      <x:c r="B31" s="18" t="n">
        <x:v>46063</x:v>
      </x:c>
      <x:c r="C31" s="16" t="str">
        <x:v>C002</x:v>
      </x:c>
      <x:c r="D31" s="16" t="str">
        <x:v>P006</x:v>
      </x:c>
      <x:c r="E31" s="38" t="n">
        <x:v>394</x:v>
      </x:c>
      <x:c r="F31" s="38" t="n">
        <x:v>17.67</x:v>
      </x:c>
      <x:c r="G31" s="20" t="n">
        <x:v>0.05</x:v>
      </x:c>
      <x:c r="H31" s="16" t="str">
        <x:v>D001</x:v>
      </x:c>
      <x:c r="I31" s="16" t="str">
        <x:v>Approved</x:v>
      </x:c>
      <x:c r="J31" s="18" t="n">
        <x:v>46093</x:v>
      </x:c>
      <x:c r="K31" s="16" t="str">
        <x:v>Paid</x:v>
      </x:c>
    </x:row>
    <x:row r="32">
      <x:c r="A32" s="16" t="str">
        <x:v>SI-260030</x:v>
      </x:c>
      <x:c r="B32" s="18" t="n">
        <x:v>46064</x:v>
      </x:c>
      <x:c r="C32" s="16" t="str">
        <x:v>C010</x:v>
      </x:c>
      <x:c r="D32" s="16" t="str">
        <x:v>P002</x:v>
      </x:c>
      <x:c r="E32" s="38" t="n">
        <x:v>167</x:v>
      </x:c>
      <x:c r="F32" s="38" t="n">
        <x:v>56.42</x:v>
      </x:c>
      <x:c r="G32" s="20" t="n">
        <x:v>0.05</x:v>
      </x:c>
      <x:c r="H32" s="16" t="str">
        <x:v>D001</x:v>
      </x:c>
      <x:c r="I32" s="16" t="str">
        <x:v>Approved</x:v>
      </x:c>
      <x:c r="J32" s="18" t="n">
        <x:v>46094</x:v>
      </x:c>
      <x:c r="K32" s="16" t="str">
        <x:v>Paid</x:v>
      </x:c>
    </x:row>
    <x:row r="33">
      <x:c r="A33" s="16" t="str">
        <x:v>SI-260031</x:v>
      </x:c>
      <x:c r="B33" s="18" t="n">
        <x:v>46065</x:v>
      </x:c>
      <x:c r="C33" s="16" t="str">
        <x:v>C009</x:v>
      </x:c>
      <x:c r="D33" s="16" t="str">
        <x:v>P003</x:v>
      </x:c>
      <x:c r="E33" s="38" t="n">
        <x:v>211</x:v>
      </x:c>
      <x:c r="F33" s="38" t="n">
        <x:v>24.47</x:v>
      </x:c>
      <x:c r="G33" s="20" t="n">
        <x:v>0.05</x:v>
      </x:c>
      <x:c r="H33" s="16" t="str">
        <x:v>D001</x:v>
      </x:c>
      <x:c r="I33" s="16" t="str">
        <x:v>Approved</x:v>
      </x:c>
      <x:c r="J33" s="18" t="n">
        <x:v>46110</x:v>
      </x:c>
      <x:c r="K33" s="16" t="str">
        <x:v>Paid</x:v>
      </x:c>
    </x:row>
    <x:row r="34">
      <x:c r="A34" s="16" t="str">
        <x:v>SI-260032</x:v>
      </x:c>
      <x:c r="B34" s="18" t="n">
        <x:v>46066</x:v>
      </x:c>
      <x:c r="C34" s="16" t="str">
        <x:v>C005</x:v>
      </x:c>
      <x:c r="D34" s="16" t="str">
        <x:v>P007</x:v>
      </x:c>
      <x:c r="E34" s="38" t="n">
        <x:v>296</x:v>
      </x:c>
      <x:c r="F34" s="38" t="n">
        <x:v>99.14</x:v>
      </x:c>
      <x:c r="G34" s="20" t="n">
        <x:v>0.05</x:v>
      </x:c>
      <x:c r="H34" s="16" t="str">
        <x:v>D001</x:v>
      </x:c>
      <x:c r="I34" s="16" t="str">
        <x:v>Approved</x:v>
      </x:c>
      <x:c r="J34" s="18" t="n">
        <x:v>46111</x:v>
      </x:c>
      <x:c r="K34" s="16" t="str">
        <x:v>Paid</x:v>
      </x:c>
    </x:row>
    <x:row r="35">
      <x:c r="A35" s="16" t="str">
        <x:v>SI-260033</x:v>
      </x:c>
      <x:c r="B35" s="18" t="n">
        <x:v>46067</x:v>
      </x:c>
      <x:c r="C35" s="16" t="str">
        <x:v>C005</x:v>
      </x:c>
      <x:c r="D35" s="16" t="str">
        <x:v>P007</x:v>
      </x:c>
      <x:c r="E35" s="38" t="n">
        <x:v>767</x:v>
      </x:c>
      <x:c r="F35" s="38" t="n">
        <x:v>96.76</x:v>
      </x:c>
      <x:c r="G35" s="20" t="n">
        <x:v>0.05</x:v>
      </x:c>
      <x:c r="H35" s="16" t="str">
        <x:v>D001</x:v>
      </x:c>
      <x:c r="I35" s="16" t="str">
        <x:v>Approved</x:v>
      </x:c>
      <x:c r="J35" s="18" t="n">
        <x:v>46112</x:v>
      </x:c>
      <x:c r="K35" s="16" t="str">
        <x:v>Open</x:v>
      </x:c>
    </x:row>
    <x:row r="36">
      <x:c r="A36" s="16" t="str">
        <x:v>SI-260034</x:v>
      </x:c>
      <x:c r="B36" s="18" t="n">
        <x:v>46068</x:v>
      </x:c>
      <x:c r="C36" s="16" t="str">
        <x:v>C009</x:v>
      </x:c>
      <x:c r="D36" s="16" t="str">
        <x:v>P008</x:v>
      </x:c>
      <x:c r="E36" s="38" t="n">
        <x:v>203</x:v>
      </x:c>
      <x:c r="F36" s="38" t="n">
        <x:v>142.44</x:v>
      </x:c>
      <x:c r="G36" s="20" t="n">
        <x:v>0.05</x:v>
      </x:c>
      <x:c r="H36" s="16" t="str">
        <x:v>D001</x:v>
      </x:c>
      <x:c r="I36" s="16" t="str">
        <x:v>Approved</x:v>
      </x:c>
      <x:c r="J36" s="18" t="n">
        <x:v>46113</x:v>
      </x:c>
      <x:c r="K36" s="16" t="str">
        <x:v>Paid</x:v>
      </x:c>
    </x:row>
    <x:row r="37">
      <x:c r="A37" s="16" t="str">
        <x:v>SI-260035</x:v>
      </x:c>
      <x:c r="B37" s="18" t="n">
        <x:v>46069</x:v>
      </x:c>
      <x:c r="C37" s="16" t="str">
        <x:v>C006</x:v>
      </x:c>
      <x:c r="D37" s="16" t="str">
        <x:v>P001</x:v>
      </x:c>
      <x:c r="E37" s="38" t="n">
        <x:v>682</x:v>
      </x:c>
      <x:c r="F37" s="38" t="n">
        <x:v>35.34</x:v>
      </x:c>
      <x:c r="G37" s="20" t="n">
        <x:v>0.05</x:v>
      </x:c>
      <x:c r="H37" s="16" t="str">
        <x:v>D001</x:v>
      </x:c>
      <x:c r="I37" s="16" t="str">
        <x:v>Approved</x:v>
      </x:c>
      <x:c r="J37" s="18" t="n">
        <x:v>46099</x:v>
      </x:c>
      <x:c r="K37" s="16" t="str">
        <x:v>Paid</x:v>
      </x:c>
    </x:row>
    <x:row r="38">
      <x:c r="A38" s="16" t="str">
        <x:v>SI-260036</x:v>
      </x:c>
      <x:c r="B38" s="18" t="n">
        <x:v>46070</x:v>
      </x:c>
      <x:c r="C38" s="16" t="str">
        <x:v>C001</x:v>
      </x:c>
      <x:c r="D38" s="16" t="str">
        <x:v>P002</x:v>
      </x:c>
      <x:c r="E38" s="38" t="n">
        <x:v>804</x:v>
      </x:c>
      <x:c r="F38" s="38" t="n">
        <x:v>55.92</x:v>
      </x:c>
      <x:c r="G38" s="20" t="n">
        <x:v>0.05</x:v>
      </x:c>
      <x:c r="H38" s="16" t="str">
        <x:v>D001</x:v>
      </x:c>
      <x:c r="I38" s="16" t="str">
        <x:v>Approved</x:v>
      </x:c>
      <x:c r="J38" s="18" t="n">
        <x:v>46100</x:v>
      </x:c>
      <x:c r="K38" s="16" t="str">
        <x:v>Paid</x:v>
      </x:c>
    </x:row>
    <x:row r="39">
      <x:c r="A39" s="16" t="str">
        <x:v>SI-260037</x:v>
      </x:c>
      <x:c r="B39" s="18" t="n">
        <x:v>46071</x:v>
      </x:c>
      <x:c r="C39" s="16" t="str">
        <x:v>C002</x:v>
      </x:c>
      <x:c r="D39" s="16" t="str">
        <x:v>P001</x:v>
      </x:c>
      <x:c r="E39" s="38" t="n">
        <x:v>418</x:v>
      </x:c>
      <x:c r="F39" s="38" t="n">
        <x:v>33.82</x:v>
      </x:c>
      <x:c r="G39" s="20" t="n">
        <x:v>0.05</x:v>
      </x:c>
      <x:c r="H39" s="16" t="str">
        <x:v>D001</x:v>
      </x:c>
      <x:c r="I39" s="16" t="str">
        <x:v>Approved</x:v>
      </x:c>
      <x:c r="J39" s="18" t="n">
        <x:v>46101</x:v>
      </x:c>
      <x:c r="K39" s="16" t="str">
        <x:v>Paid</x:v>
      </x:c>
    </x:row>
    <x:row r="40">
      <x:c r="A40" s="16" t="str">
        <x:v>SI-260038</x:v>
      </x:c>
      <x:c r="B40" s="18" t="n">
        <x:v>46072</x:v>
      </x:c>
      <x:c r="C40" s="16" t="str">
        <x:v>C005</x:v>
      </x:c>
      <x:c r="D40" s="16" t="str">
        <x:v>P008</x:v>
      </x:c>
      <x:c r="E40" s="38" t="n">
        <x:v>299</x:v>
      </x:c>
      <x:c r="F40" s="38" t="n">
        <x:v>146.24</x:v>
      </x:c>
      <x:c r="G40" s="20" t="n">
        <x:v>0.05</x:v>
      </x:c>
      <x:c r="H40" s="16" t="str">
        <x:v>D001</x:v>
      </x:c>
      <x:c r="I40" s="16" t="str">
        <x:v>Approved</x:v>
      </x:c>
      <x:c r="J40" s="18" t="n">
        <x:v>46117</x:v>
      </x:c>
      <x:c r="K40" s="16" t="str">
        <x:v>Open</x:v>
      </x:c>
    </x:row>
    <x:row r="41">
      <x:c r="A41" s="16" t="str">
        <x:v>SI-260039</x:v>
      </x:c>
      <x:c r="B41" s="18" t="n">
        <x:v>46073</x:v>
      </x:c>
      <x:c r="C41" s="16" t="str">
        <x:v>C004</x:v>
      </x:c>
      <x:c r="D41" s="16" t="str">
        <x:v>P008</x:v>
      </x:c>
      <x:c r="E41" s="38" t="n">
        <x:v>496</x:v>
      </x:c>
      <x:c r="F41" s="38" t="n">
        <x:v>141.68</x:v>
      </x:c>
      <x:c r="G41" s="20" t="n">
        <x:v>0.05</x:v>
      </x:c>
      <x:c r="H41" s="16" t="str">
        <x:v>D001</x:v>
      </x:c>
      <x:c r="I41" s="16" t="str">
        <x:v>Approved</x:v>
      </x:c>
      <x:c r="J41" s="18" t="n">
        <x:v>46103</x:v>
      </x:c>
      <x:c r="K41" s="16" t="str">
        <x:v>Paid</x:v>
      </x:c>
    </x:row>
    <x:row r="42">
      <x:c r="A42" s="16" t="str">
        <x:v>SI-260040</x:v>
      </x:c>
      <x:c r="B42" s="18" t="n">
        <x:v>46074</x:v>
      </x:c>
      <x:c r="C42" s="16" t="str">
        <x:v>C007</x:v>
      </x:c>
      <x:c r="D42" s="16" t="str">
        <x:v>P006</x:v>
      </x:c>
      <x:c r="E42" s="38" t="n">
        <x:v>513</x:v>
      </x:c>
      <x:c r="F42" s="38" t="n">
        <x:v>17.95</x:v>
      </x:c>
      <x:c r="G42" s="20" t="n">
        <x:v>0.05</x:v>
      </x:c>
      <x:c r="H42" s="16" t="str">
        <x:v>D001</x:v>
      </x:c>
      <x:c r="I42" s="16" t="str">
        <x:v>Approved</x:v>
      </x:c>
      <x:c r="J42" s="18" t="n">
        <x:v>46104</x:v>
      </x:c>
      <x:c r="K42" s="16" t="str">
        <x:v>Paid</x:v>
      </x:c>
    </x:row>
    <x:row r="43">
      <x:c r="A43" s="16" t="str">
        <x:v>SI-260041</x:v>
      </x:c>
      <x:c r="B43" s="18" t="n">
        <x:v>46083</x:v>
      </x:c>
      <x:c r="C43" s="16" t="str">
        <x:v>C002</x:v>
      </x:c>
      <x:c r="D43" s="16" t="str">
        <x:v>P001</x:v>
      </x:c>
      <x:c r="E43" s="38" t="n">
        <x:v>492</x:v>
      </x:c>
      <x:c r="F43" s="38" t="n">
        <x:v>35.89</x:v>
      </x:c>
      <x:c r="G43" s="20" t="n">
        <x:v>0.05</x:v>
      </x:c>
      <x:c r="H43" s="16" t="str">
        <x:v>D001</x:v>
      </x:c>
      <x:c r="I43" s="16" t="str">
        <x:v>Approved</x:v>
      </x:c>
      <x:c r="J43" s="18" t="n">
        <x:v>46113</x:v>
      </x:c>
      <x:c r="K43" s="16" t="str">
        <x:v>Paid</x:v>
      </x:c>
    </x:row>
    <x:row r="44">
      <x:c r="A44" s="16" t="str">
        <x:v>SI-260042</x:v>
      </x:c>
      <x:c r="B44" s="18" t="n">
        <x:v>46084</x:v>
      </x:c>
      <x:c r="C44" s="16" t="str">
        <x:v>C004</x:v>
      </x:c>
      <x:c r="D44" s="16" t="str">
        <x:v>P004</x:v>
      </x:c>
      <x:c r="E44" s="38" t="n">
        <x:v>274</x:v>
      </x:c>
      <x:c r="F44" s="38" t="n">
        <x:v>42.35</x:v>
      </x:c>
      <x:c r="G44" s="20" t="n">
        <x:v>0.05</x:v>
      </x:c>
      <x:c r="H44" s="16" t="str">
        <x:v>D001</x:v>
      </x:c>
      <x:c r="I44" s="16" t="str">
        <x:v>Approved</x:v>
      </x:c>
      <x:c r="J44" s="18" t="n">
        <x:v>46114</x:v>
      </x:c>
      <x:c r="K44" s="16" t="str">
        <x:v>Paid</x:v>
      </x:c>
    </x:row>
    <x:row r="45">
      <x:c r="A45" s="16" t="str">
        <x:v>SI-260043</x:v>
      </x:c>
      <x:c r="B45" s="18" t="n">
        <x:v>46085</x:v>
      </x:c>
      <x:c r="C45" s="16" t="str">
        <x:v>C007</x:v>
      </x:c>
      <x:c r="D45" s="16" t="str">
        <x:v>P003</x:v>
      </x:c>
      <x:c r="E45" s="38" t="n">
        <x:v>365</x:v>
      </x:c>
      <x:c r="F45" s="38" t="n">
        <x:v>24.04</x:v>
      </x:c>
      <x:c r="G45" s="20" t="n">
        <x:v>0.05</x:v>
      </x:c>
      <x:c r="H45" s="16" t="str">
        <x:v>D001</x:v>
      </x:c>
      <x:c r="I45" s="16" t="str">
        <x:v>Approved</x:v>
      </x:c>
      <x:c r="J45" s="18" t="n">
        <x:v>46115</x:v>
      </x:c>
      <x:c r="K45" s="16" t="str">
        <x:v>Paid</x:v>
      </x:c>
    </x:row>
    <x:row r="46">
      <x:c r="A46" s="16" t="str">
        <x:v>SI-260044</x:v>
      </x:c>
      <x:c r="B46" s="18" t="n">
        <x:v>46086</x:v>
      </x:c>
      <x:c r="C46" s="16" t="str">
        <x:v>C008</x:v>
      </x:c>
      <x:c r="D46" s="16" t="str">
        <x:v>P002</x:v>
      </x:c>
      <x:c r="E46" s="38" t="n">
        <x:v>131</x:v>
      </x:c>
      <x:c r="F46" s="38" t="n">
        <x:v>56.03</x:v>
      </x:c>
      <x:c r="G46" s="20" t="n">
        <x:v>0.05</x:v>
      </x:c>
      <x:c r="H46" s="16" t="str">
        <x:v>D001</x:v>
      </x:c>
      <x:c r="I46" s="16" t="str">
        <x:v>Approved</x:v>
      </x:c>
      <x:c r="J46" s="18" t="n">
        <x:v>46101</x:v>
      </x:c>
      <x:c r="K46" s="16" t="str">
        <x:v>Paid</x:v>
      </x:c>
    </x:row>
    <x:row r="47">
      <x:c r="A47" s="16" t="str">
        <x:v>SI-260045</x:v>
      </x:c>
      <x:c r="B47" s="18" t="n">
        <x:v>46087</x:v>
      </x:c>
      <x:c r="C47" s="16" t="str">
        <x:v>C002</x:v>
      </x:c>
      <x:c r="D47" s="16" t="str">
        <x:v>P004</x:v>
      </x:c>
      <x:c r="E47" s="38" t="n">
        <x:v>250</x:v>
      </x:c>
      <x:c r="F47" s="38" t="n">
        <x:v>41.86</x:v>
      </x:c>
      <x:c r="G47" s="20" t="n">
        <x:v>0.05</x:v>
      </x:c>
      <x:c r="H47" s="16" t="str">
        <x:v>D001</x:v>
      </x:c>
      <x:c r="I47" s="16" t="str">
        <x:v>Approved</x:v>
      </x:c>
      <x:c r="J47" s="18" t="n">
        <x:v>46117</x:v>
      </x:c>
      <x:c r="K47" s="16" t="str">
        <x:v>Open</x:v>
      </x:c>
    </x:row>
    <x:row r="48">
      <x:c r="A48" s="16" t="str">
        <x:v>SI-260046</x:v>
      </x:c>
      <x:c r="B48" s="18" t="n">
        <x:v>46088</x:v>
      </x:c>
      <x:c r="C48" s="16" t="str">
        <x:v>C004</x:v>
      </x:c>
      <x:c r="D48" s="16" t="str">
        <x:v>P007</x:v>
      </x:c>
      <x:c r="E48" s="38" t="n">
        <x:v>140</x:v>
      </x:c>
      <x:c r="F48" s="38" t="n">
        <x:v>92.61</x:v>
      </x:c>
      <x:c r="G48" s="20" t="n">
        <x:v>0.05</x:v>
      </x:c>
      <x:c r="H48" s="16" t="str">
        <x:v>D001</x:v>
      </x:c>
      <x:c r="I48" s="16" t="str">
        <x:v>Approved</x:v>
      </x:c>
      <x:c r="J48" s="18" t="n">
        <x:v>46118</x:v>
      </x:c>
      <x:c r="K48" s="16" t="str">
        <x:v>Paid</x:v>
      </x:c>
    </x:row>
    <x:row r="49">
      <x:c r="A49" s="16" t="str">
        <x:v>SI-260047</x:v>
      </x:c>
      <x:c r="B49" s="18" t="n">
        <x:v>46089</x:v>
      </x:c>
      <x:c r="C49" s="16" t="str">
        <x:v>C007</x:v>
      </x:c>
      <x:c r="D49" s="16" t="str">
        <x:v>P005</x:v>
      </x:c>
      <x:c r="E49" s="38" t="n">
        <x:v>882</x:v>
      </x:c>
      <x:c r="F49" s="38" t="n">
        <x:v>70.08</x:v>
      </x:c>
      <x:c r="G49" s="20" t="n">
        <x:v>0.05</x:v>
      </x:c>
      <x:c r="H49" s="16" t="str">
        <x:v>D001</x:v>
      </x:c>
      <x:c r="I49" s="16" t="str">
        <x:v>Approved</x:v>
      </x:c>
      <x:c r="J49" s="18" t="n">
        <x:v>46119</x:v>
      </x:c>
      <x:c r="K49" s="16" t="str">
        <x:v>Part Paid</x:v>
      </x:c>
    </x:row>
    <x:row r="50">
      <x:c r="A50" s="16" t="str">
        <x:v>SI-260048</x:v>
      </x:c>
      <x:c r="B50" s="18" t="n">
        <x:v>46090</x:v>
      </x:c>
      <x:c r="C50" s="16" t="str">
        <x:v>C007</x:v>
      </x:c>
      <x:c r="D50" s="16" t="str">
        <x:v>P008</x:v>
      </x:c>
      <x:c r="E50" s="38" t="n">
        <x:v>238</x:v>
      </x:c>
      <x:c r="F50" s="38" t="n">
        <x:v>141.68</x:v>
      </x:c>
      <x:c r="G50" s="20" t="n">
        <x:v>0.05</x:v>
      </x:c>
      <x:c r="H50" s="16" t="str">
        <x:v>D001</x:v>
      </x:c>
      <x:c r="I50" s="16" t="str">
        <x:v>Approved</x:v>
      </x:c>
      <x:c r="J50" s="18" t="n">
        <x:v>46120</x:v>
      </x:c>
      <x:c r="K50" s="16" t="str">
        <x:v>Paid</x:v>
      </x:c>
    </x:row>
    <x:row r="51">
      <x:c r="A51" s="16" t="str">
        <x:v>SI-260049</x:v>
      </x:c>
      <x:c r="B51" s="18" t="n">
        <x:v>46091</x:v>
      </x:c>
      <x:c r="C51" s="16" t="str">
        <x:v>C001</x:v>
      </x:c>
      <x:c r="D51" s="16" t="str">
        <x:v>P001</x:v>
      </x:c>
      <x:c r="E51" s="38" t="n">
        <x:v>845</x:v>
      </x:c>
      <x:c r="F51" s="38" t="n">
        <x:v>34.59</x:v>
      </x:c>
      <x:c r="G51" s="20" t="n">
        <x:v>0.05</x:v>
      </x:c>
      <x:c r="H51" s="16" t="str">
        <x:v>D001</x:v>
      </x:c>
      <x:c r="I51" s="16" t="str">
        <x:v>Approved</x:v>
      </x:c>
      <x:c r="J51" s="18" t="n">
        <x:v>46121</x:v>
      </x:c>
      <x:c r="K51" s="16" t="str">
        <x:v>Paid</x:v>
      </x:c>
    </x:row>
    <x:row r="52">
      <x:c r="A52" s="16" t="str">
        <x:v>SI-260050</x:v>
      </x:c>
      <x:c r="B52" s="18" t="n">
        <x:v>46092</x:v>
      </x:c>
      <x:c r="C52" s="16" t="str">
        <x:v>C010</x:v>
      </x:c>
      <x:c r="D52" s="16" t="str">
        <x:v>P008</x:v>
      </x:c>
      <x:c r="E52" s="38" t="n">
        <x:v>594</x:v>
      </x:c>
      <x:c r="F52" s="38" t="n">
        <x:v>151.2</x:v>
      </x:c>
      <x:c r="G52" s="20" t="n">
        <x:v>0.05</x:v>
      </x:c>
      <x:c r="H52" s="16" t="str">
        <x:v>D001</x:v>
      </x:c>
      <x:c r="I52" s="16" t="str">
        <x:v>Approved</x:v>
      </x:c>
      <x:c r="J52" s="18" t="n">
        <x:v>46122</x:v>
      </x:c>
      <x:c r="K52" s="16" t="str">
        <x:v>Paid</x:v>
      </x:c>
    </x:row>
    <x:row r="53">
      <x:c r="A53" s="16" t="str">
        <x:v>SI-260051</x:v>
      </x:c>
      <x:c r="B53" s="18" t="n">
        <x:v>46093</x:v>
      </x:c>
      <x:c r="C53" s="16" t="str">
        <x:v>C001</x:v>
      </x:c>
      <x:c r="D53" s="16" t="str">
        <x:v>P002</x:v>
      </x:c>
      <x:c r="E53" s="38" t="n">
        <x:v>270</x:v>
      </x:c>
      <x:c r="F53" s="38" t="n">
        <x:v>53.14</x:v>
      </x:c>
      <x:c r="G53" s="20" t="n">
        <x:v>0.05</x:v>
      </x:c>
      <x:c r="H53" s="16" t="str">
        <x:v>D001</x:v>
      </x:c>
      <x:c r="I53" s="16" t="str">
        <x:v>Approved</x:v>
      </x:c>
      <x:c r="J53" s="18" t="n">
        <x:v>46123</x:v>
      </x:c>
      <x:c r="K53" s="16" t="str">
        <x:v>Paid</x:v>
      </x:c>
    </x:row>
    <x:row r="54">
      <x:c r="A54" s="16" t="str">
        <x:v>SI-260052</x:v>
      </x:c>
      <x:c r="B54" s="18" t="n">
        <x:v>46094</x:v>
      </x:c>
      <x:c r="C54" s="16" t="str">
        <x:v>C004</x:v>
      </x:c>
      <x:c r="D54" s="16" t="str">
        <x:v>P007</x:v>
      </x:c>
      <x:c r="E54" s="38" t="n">
        <x:v>202</x:v>
      </x:c>
      <x:c r="F54" s="38" t="n">
        <x:v>99.25</x:v>
      </x:c>
      <x:c r="G54" s="20" t="n">
        <x:v>0.05</x:v>
      </x:c>
      <x:c r="H54" s="16" t="str">
        <x:v>D001</x:v>
      </x:c>
      <x:c r="I54" s="16" t="str">
        <x:v>Approved</x:v>
      </x:c>
      <x:c r="J54" s="18" t="n">
        <x:v>46124</x:v>
      </x:c>
      <x:c r="K54" s="16" t="str">
        <x:v>Paid</x:v>
      </x:c>
    </x:row>
    <x:row r="55">
      <x:c r="A55" s="16" t="str">
        <x:v>SI-260053</x:v>
      </x:c>
      <x:c r="B55" s="18" t="n">
        <x:v>46095</x:v>
      </x:c>
      <x:c r="C55" s="16" t="str">
        <x:v>C010</x:v>
      </x:c>
      <x:c r="D55" s="16" t="str">
        <x:v>P001</x:v>
      </x:c>
      <x:c r="E55" s="38" t="n">
        <x:v>714</x:v>
      </x:c>
      <x:c r="F55" s="38" t="n">
        <x:v>33.86</x:v>
      </x:c>
      <x:c r="G55" s="20" t="n">
        <x:v>0.05</x:v>
      </x:c>
      <x:c r="H55" s="16" t="str">
        <x:v>D001</x:v>
      </x:c>
      <x:c r="I55" s="16" t="str">
        <x:v>Approved</x:v>
      </x:c>
      <x:c r="J55" s="18" t="n">
        <x:v>46125</x:v>
      </x:c>
      <x:c r="K55" s="16" t="str">
        <x:v>Part Paid</x:v>
      </x:c>
    </x:row>
    <x:row r="56">
      <x:c r="A56" s="16" t="str">
        <x:v>SI-260054</x:v>
      </x:c>
      <x:c r="B56" s="18" t="n">
        <x:v>46096</x:v>
      </x:c>
      <x:c r="C56" s="16" t="str">
        <x:v>C005</x:v>
      </x:c>
      <x:c r="D56" s="16" t="str">
        <x:v>P004</x:v>
      </x:c>
      <x:c r="E56" s="38" t="n">
        <x:v>765</x:v>
      </x:c>
      <x:c r="F56" s="38" t="n">
        <x:v>43.03</x:v>
      </x:c>
      <x:c r="G56" s="20" t="n">
        <x:v>0.05</x:v>
      </x:c>
      <x:c r="H56" s="16" t="str">
        <x:v>D001</x:v>
      </x:c>
      <x:c r="I56" s="16" t="str">
        <x:v>Approved</x:v>
      </x:c>
      <x:c r="J56" s="18" t="n">
        <x:v>46141</x:v>
      </x:c>
      <x:c r="K56" s="16" t="str">
        <x:v>Paid</x:v>
      </x:c>
    </x:row>
    <x:row r="57">
      <x:c r="A57" s="16" t="str">
        <x:v>SI-260055</x:v>
      </x:c>
      <x:c r="B57" s="18" t="n">
        <x:v>46097</x:v>
      </x:c>
      <x:c r="C57" s="16" t="str">
        <x:v>C005</x:v>
      </x:c>
      <x:c r="D57" s="16" t="str">
        <x:v>P007</x:v>
      </x:c>
      <x:c r="E57" s="38" t="n">
        <x:v>214</x:v>
      </x:c>
      <x:c r="F57" s="38" t="n">
        <x:v>96.94</x:v>
      </x:c>
      <x:c r="G57" s="20" t="n">
        <x:v>0.05</x:v>
      </x:c>
      <x:c r="H57" s="16" t="str">
        <x:v>D001</x:v>
      </x:c>
      <x:c r="I57" s="16" t="str">
        <x:v>Approved</x:v>
      </x:c>
      <x:c r="J57" s="18" t="n">
        <x:v>46142</x:v>
      </x:c>
      <x:c r="K57" s="16" t="str">
        <x:v>Part Paid</x:v>
      </x:c>
    </x:row>
    <x:row r="58">
      <x:c r="A58" s="16" t="str">
        <x:v>SI-260056</x:v>
      </x:c>
      <x:c r="B58" s="18" t="n">
        <x:v>46098</x:v>
      </x:c>
      <x:c r="C58" s="16" t="str">
        <x:v>C008</x:v>
      </x:c>
      <x:c r="D58" s="16" t="str">
        <x:v>P006</x:v>
      </x:c>
      <x:c r="E58" s="38" t="n">
        <x:v>849</x:v>
      </x:c>
      <x:c r="F58" s="38" t="n">
        <x:v>18.8</x:v>
      </x:c>
      <x:c r="G58" s="20" t="n">
        <x:v>0.05</x:v>
      </x:c>
      <x:c r="H58" s="16" t="str">
        <x:v>D001</x:v>
      </x:c>
      <x:c r="I58" s="16" t="str">
        <x:v>Approved</x:v>
      </x:c>
      <x:c r="J58" s="18" t="n">
        <x:v>46113</x:v>
      </x:c>
      <x:c r="K58" s="16" t="str">
        <x:v>Paid</x:v>
      </x:c>
    </x:row>
    <x:row r="59">
      <x:c r="A59" s="16" t="str">
        <x:v>SI-260057</x:v>
      </x:c>
      <x:c r="B59" s="18" t="n">
        <x:v>46099</x:v>
      </x:c>
      <x:c r="C59" s="16" t="str">
        <x:v>C008</x:v>
      </x:c>
      <x:c r="D59" s="16" t="str">
        <x:v>P002</x:v>
      </x:c>
      <x:c r="E59" s="38" t="n">
        <x:v>155</x:v>
      </x:c>
      <x:c r="F59" s="38" t="n">
        <x:v>55.46</x:v>
      </x:c>
      <x:c r="G59" s="20" t="n">
        <x:v>0.05</x:v>
      </x:c>
      <x:c r="H59" s="16" t="str">
        <x:v>D001</x:v>
      </x:c>
      <x:c r="I59" s="16" t="str">
        <x:v>Approved</x:v>
      </x:c>
      <x:c r="J59" s="18" t="n">
        <x:v>46114</x:v>
      </x:c>
      <x:c r="K59" s="16" t="str">
        <x:v>Part Paid</x:v>
      </x:c>
    </x:row>
    <x:row r="60">
      <x:c r="A60" s="16" t="str">
        <x:v>SI-260058</x:v>
      </x:c>
      <x:c r="B60" s="18" t="n">
        <x:v>46100</x:v>
      </x:c>
      <x:c r="C60" s="16" t="str">
        <x:v>C003</x:v>
      </x:c>
      <x:c r="D60" s="16" t="str">
        <x:v>P006</x:v>
      </x:c>
      <x:c r="E60" s="38" t="n">
        <x:v>150</x:v>
      </x:c>
      <x:c r="F60" s="38" t="n">
        <x:v>18.7</x:v>
      </x:c>
      <x:c r="G60" s="20" t="n">
        <x:v>0.05</x:v>
      </x:c>
      <x:c r="H60" s="16" t="str">
        <x:v>D001</x:v>
      </x:c>
      <x:c r="I60" s="16" t="str">
        <x:v>Approved</x:v>
      </x:c>
      <x:c r="J60" s="18" t="n">
        <x:v>46145</x:v>
      </x:c>
      <x:c r="K60" s="16" t="str">
        <x:v>Part Paid</x:v>
      </x:c>
    </x:row>
    <x:row r="61">
      <x:c r="A61" s="16" t="str">
        <x:v>SI-260059</x:v>
      </x:c>
      <x:c r="B61" s="18" t="n">
        <x:v>46101</x:v>
      </x:c>
      <x:c r="C61" s="16" t="str">
        <x:v>C005</x:v>
      </x:c>
      <x:c r="D61" s="16" t="str">
        <x:v>P003</x:v>
      </x:c>
      <x:c r="E61" s="38" t="n">
        <x:v>528</x:v>
      </x:c>
      <x:c r="F61" s="38" t="n">
        <x:v>24.84</x:v>
      </x:c>
      <x:c r="G61" s="20" t="n">
        <x:v>0.05</x:v>
      </x:c>
      <x:c r="H61" s="16" t="str">
        <x:v>D001</x:v>
      </x:c>
      <x:c r="I61" s="16" t="str">
        <x:v>Approved</x:v>
      </x:c>
      <x:c r="J61" s="18" t="n">
        <x:v>46146</x:v>
      </x:c>
      <x:c r="K61" s="16" t="str">
        <x:v>Part Paid</x:v>
      </x:c>
    </x:row>
    <x:row r="62">
      <x:c r="A62" s="16" t="str">
        <x:v>SI-260060</x:v>
      </x:c>
      <x:c r="B62" s="18" t="n">
        <x:v>46102</x:v>
      </x:c>
      <x:c r="C62" s="16" t="str">
        <x:v>C010</x:v>
      </x:c>
      <x:c r="D62" s="16" t="str">
        <x:v>P001</x:v>
      </x:c>
      <x:c r="E62" s="38" t="n">
        <x:v>763</x:v>
      </x:c>
      <x:c r="F62" s="38" t="n">
        <x:v>36.17</x:v>
      </x:c>
      <x:c r="G62" s="20" t="n">
        <x:v>0.05</x:v>
      </x:c>
      <x:c r="H62" s="16" t="str">
        <x:v>D001</x:v>
      </x:c>
      <x:c r="I62" s="16" t="str">
        <x:v>Approved</x:v>
      </x:c>
      <x:c r="J62" s="18" t="n">
        <x:v>46132</x:v>
      </x:c>
      <x:c r="K62" s="16" t="str">
        <x:v>Part Paid</x:v>
      </x:c>
    </x:row>
    <x:row r="63">
      <x:c r="A63" s="16" t="str">
        <x:v>SI-260061</x:v>
      </x:c>
      <x:c r="B63" s="18" t="n">
        <x:v>46114</x:v>
      </x:c>
      <x:c r="C63" s="16" t="str">
        <x:v>C002</x:v>
      </x:c>
      <x:c r="D63" s="16" t="str">
        <x:v>P003</x:v>
      </x:c>
      <x:c r="E63" s="38" t="n">
        <x:v>350</x:v>
      </x:c>
      <x:c r="F63" s="38" t="n">
        <x:v>23.29</x:v>
      </x:c>
      <x:c r="G63" s="20" t="n">
        <x:v>0.05</x:v>
      </x:c>
      <x:c r="H63" s="16" t="str">
        <x:v>D001</x:v>
      </x:c>
      <x:c r="I63" s="16" t="str">
        <x:v>Approved</x:v>
      </x:c>
      <x:c r="J63" s="18" t="n">
        <x:v>46144</x:v>
      </x:c>
      <x:c r="K63" s="16" t="str">
        <x:v>Paid</x:v>
      </x:c>
    </x:row>
    <x:row r="64">
      <x:c r="A64" s="16" t="str">
        <x:v>SI-260062</x:v>
      </x:c>
      <x:c r="B64" s="18" t="n">
        <x:v>46115</x:v>
      </x:c>
      <x:c r="C64" s="16" t="str">
        <x:v>C009</x:v>
      </x:c>
      <x:c r="D64" s="16" t="str">
        <x:v>P003</x:v>
      </x:c>
      <x:c r="E64" s="38" t="n">
        <x:v>358</x:v>
      </x:c>
      <x:c r="F64" s="38" t="n">
        <x:v>23.65</x:v>
      </x:c>
      <x:c r="G64" s="20" t="n">
        <x:v>0.05</x:v>
      </x:c>
      <x:c r="H64" s="16" t="str">
        <x:v>D001</x:v>
      </x:c>
      <x:c r="I64" s="16" t="str">
        <x:v>Approved</x:v>
      </x:c>
      <x:c r="J64" s="18" t="n">
        <x:v>46160</x:v>
      </x:c>
      <x:c r="K64" s="16" t="str">
        <x:v>Paid</x:v>
      </x:c>
    </x:row>
    <x:row r="65">
      <x:c r="A65" s="16" t="str">
        <x:v>SI-260063</x:v>
      </x:c>
      <x:c r="B65" s="18" t="n">
        <x:v>46116</x:v>
      </x:c>
      <x:c r="C65" s="16" t="str">
        <x:v>C006</x:v>
      </x:c>
      <x:c r="D65" s="16" t="str">
        <x:v>P004</x:v>
      </x:c>
      <x:c r="E65" s="38" t="n">
        <x:v>783</x:v>
      </x:c>
      <x:c r="F65" s="38" t="n">
        <x:v>42.72</x:v>
      </x:c>
      <x:c r="G65" s="20" t="n">
        <x:v>0.05</x:v>
      </x:c>
      <x:c r="H65" s="16" t="str">
        <x:v>D001</x:v>
      </x:c>
      <x:c r="I65" s="16" t="str">
        <x:v>Approved</x:v>
      </x:c>
      <x:c r="J65" s="18" t="n">
        <x:v>46146</x:v>
      </x:c>
      <x:c r="K65" s="16" t="str">
        <x:v>Part Paid</x:v>
      </x:c>
    </x:row>
    <x:row r="66">
      <x:c r="A66" s="16" t="str">
        <x:v>SI-260064</x:v>
      </x:c>
      <x:c r="B66" s="18" t="n">
        <x:v>46117</x:v>
      </x:c>
      <x:c r="C66" s="16" t="str">
        <x:v>C009</x:v>
      </x:c>
      <x:c r="D66" s="16" t="str">
        <x:v>P008</x:v>
      </x:c>
      <x:c r="E66" s="38" t="n">
        <x:v>337</x:v>
      </x:c>
      <x:c r="F66" s="38" t="n">
        <x:v>151.01</x:v>
      </x:c>
      <x:c r="G66" s="20" t="n">
        <x:v>0.05</x:v>
      </x:c>
      <x:c r="H66" s="16" t="str">
        <x:v>D001</x:v>
      </x:c>
      <x:c r="I66" s="16" t="str">
        <x:v>Approved</x:v>
      </x:c>
      <x:c r="J66" s="18" t="n">
        <x:v>46162</x:v>
      </x:c>
      <x:c r="K66" s="16" t="str">
        <x:v>Paid</x:v>
      </x:c>
    </x:row>
    <x:row r="67">
      <x:c r="A67" s="16" t="str">
        <x:v>SI-260065</x:v>
      </x:c>
      <x:c r="B67" s="18" t="n">
        <x:v>46118</x:v>
      </x:c>
      <x:c r="C67" s="16" t="str">
        <x:v>C002</x:v>
      </x:c>
      <x:c r="D67" s="16" t="str">
        <x:v>P007</x:v>
      </x:c>
      <x:c r="E67" s="38" t="n">
        <x:v>363</x:v>
      </x:c>
      <x:c r="F67" s="38" t="n">
        <x:v>91.58</x:v>
      </x:c>
      <x:c r="G67" s="20" t="n">
        <x:v>0.05</x:v>
      </x:c>
      <x:c r="H67" s="16" t="str">
        <x:v>D001</x:v>
      </x:c>
      <x:c r="I67" s="16" t="str">
        <x:v>Approved</x:v>
      </x:c>
      <x:c r="J67" s="18" t="n">
        <x:v>46148</x:v>
      </x:c>
      <x:c r="K67" s="16" t="str">
        <x:v>Part Paid</x:v>
      </x:c>
    </x:row>
    <x:row r="68">
      <x:c r="A68" s="16" t="str">
        <x:v>SI-260066</x:v>
      </x:c>
      <x:c r="B68" s="18" t="n">
        <x:v>46119</x:v>
      </x:c>
      <x:c r="C68" s="16" t="str">
        <x:v>C003</x:v>
      </x:c>
      <x:c r="D68" s="16" t="str">
        <x:v>P005</x:v>
      </x:c>
      <x:c r="E68" s="38" t="n">
        <x:v>245</x:v>
      </x:c>
      <x:c r="F68" s="38" t="n">
        <x:v>69.82</x:v>
      </x:c>
      <x:c r="G68" s="20" t="n">
        <x:v>0.05</x:v>
      </x:c>
      <x:c r="H68" s="16" t="str">
        <x:v>D001</x:v>
      </x:c>
      <x:c r="I68" s="16" t="str">
        <x:v>Approved</x:v>
      </x:c>
      <x:c r="J68" s="18" t="n">
        <x:v>46164</x:v>
      </x:c>
      <x:c r="K68" s="16" t="str">
        <x:v>Open</x:v>
      </x:c>
    </x:row>
    <x:row r="69">
      <x:c r="A69" s="16" t="str">
        <x:v>SI-260067</x:v>
      </x:c>
      <x:c r="B69" s="18" t="n">
        <x:v>46120</x:v>
      </x:c>
      <x:c r="C69" s="16" t="str">
        <x:v>C009</x:v>
      </x:c>
      <x:c r="D69" s="16" t="str">
        <x:v>P001</x:v>
      </x:c>
      <x:c r="E69" s="38" t="n">
        <x:v>194</x:v>
      </x:c>
      <x:c r="F69" s="38" t="n">
        <x:v>33.84</x:v>
      </x:c>
      <x:c r="G69" s="20" t="n">
        <x:v>0.05</x:v>
      </x:c>
      <x:c r="H69" s="16" t="str">
        <x:v>D001</x:v>
      </x:c>
      <x:c r="I69" s="16" t="str">
        <x:v>Approved</x:v>
      </x:c>
      <x:c r="J69" s="18" t="n">
        <x:v>46165</x:v>
      </x:c>
      <x:c r="K69" s="16" t="str">
        <x:v>Paid</x:v>
      </x:c>
    </x:row>
    <x:row r="70">
      <x:c r="A70" s="16" t="str">
        <x:v>SI-260068</x:v>
      </x:c>
      <x:c r="B70" s="18" t="n">
        <x:v>46121</x:v>
      </x:c>
      <x:c r="C70" s="16" t="str">
        <x:v>C009</x:v>
      </x:c>
      <x:c r="D70" s="16" t="str">
        <x:v>P001</x:v>
      </x:c>
      <x:c r="E70" s="38" t="n">
        <x:v>458</x:v>
      </x:c>
      <x:c r="F70" s="38" t="n">
        <x:v>35.43</x:v>
      </x:c>
      <x:c r="G70" s="20" t="n">
        <x:v>0.05</x:v>
      </x:c>
      <x:c r="H70" s="16" t="str">
        <x:v>D001</x:v>
      </x:c>
      <x:c r="I70" s="16" t="str">
        <x:v>Approved</x:v>
      </x:c>
      <x:c r="J70" s="18" t="n">
        <x:v>46166</x:v>
      </x:c>
      <x:c r="K70" s="16" t="str">
        <x:v>Paid</x:v>
      </x:c>
    </x:row>
    <x:row r="71">
      <x:c r="A71" s="16" t="str">
        <x:v>SI-260069</x:v>
      </x:c>
      <x:c r="B71" s="18" t="n">
        <x:v>46122</x:v>
      </x:c>
      <x:c r="C71" s="16" t="str">
        <x:v>C007</x:v>
      </x:c>
      <x:c r="D71" s="16" t="str">
        <x:v>P003</x:v>
      </x:c>
      <x:c r="E71" s="38" t="n">
        <x:v>122</x:v>
      </x:c>
      <x:c r="F71" s="38" t="n">
        <x:v>23.71</x:v>
      </x:c>
      <x:c r="G71" s="20" t="n">
        <x:v>0.05</x:v>
      </x:c>
      <x:c r="H71" s="16" t="str">
        <x:v>D001</x:v>
      </x:c>
      <x:c r="I71" s="16" t="str">
        <x:v>Approved</x:v>
      </x:c>
      <x:c r="J71" s="18" t="n">
        <x:v>46152</x:v>
      </x:c>
      <x:c r="K71" s="16" t="str">
        <x:v>Paid</x:v>
      </x:c>
    </x:row>
    <x:row r="72">
      <x:c r="A72" s="16" t="str">
        <x:v>SI-260070</x:v>
      </x:c>
      <x:c r="B72" s="18" t="n">
        <x:v>46123</x:v>
      </x:c>
      <x:c r="C72" s="16" t="str">
        <x:v>C006</x:v>
      </x:c>
      <x:c r="D72" s="16" t="str">
        <x:v>P004</x:v>
      </x:c>
      <x:c r="E72" s="38" t="n">
        <x:v>778</x:v>
      </x:c>
      <x:c r="F72" s="38" t="n">
        <x:v>41.26</x:v>
      </x:c>
      <x:c r="G72" s="20" t="n">
        <x:v>0.05</x:v>
      </x:c>
      <x:c r="H72" s="16" t="str">
        <x:v>D001</x:v>
      </x:c>
      <x:c r="I72" s="16" t="str">
        <x:v>Approved</x:v>
      </x:c>
      <x:c r="J72" s="18" t="n">
        <x:v>46153</x:v>
      </x:c>
      <x:c r="K72" s="16" t="str">
        <x:v>Paid</x:v>
      </x:c>
    </x:row>
    <x:row r="73">
      <x:c r="A73" s="16" t="str">
        <x:v>SI-260071</x:v>
      </x:c>
      <x:c r="B73" s="18" t="n">
        <x:v>46124</x:v>
      </x:c>
      <x:c r="C73" s="16" t="str">
        <x:v>C006</x:v>
      </x:c>
      <x:c r="D73" s="16" t="str">
        <x:v>P007</x:v>
      </x:c>
      <x:c r="E73" s="38" t="n">
        <x:v>715</x:v>
      </x:c>
      <x:c r="F73" s="38" t="n">
        <x:v>97.61</x:v>
      </x:c>
      <x:c r="G73" s="20" t="n">
        <x:v>0.05</x:v>
      </x:c>
      <x:c r="H73" s="16" t="str">
        <x:v>D001</x:v>
      </x:c>
      <x:c r="I73" s="16" t="str">
        <x:v>Approved</x:v>
      </x:c>
      <x:c r="J73" s="18" t="n">
        <x:v>46154</x:v>
      </x:c>
      <x:c r="K73" s="16" t="str">
        <x:v>Paid</x:v>
      </x:c>
    </x:row>
    <x:row r="74">
      <x:c r="A74" s="16" t="str">
        <x:v>SI-260072</x:v>
      </x:c>
      <x:c r="B74" s="18" t="n">
        <x:v>46125</x:v>
      </x:c>
      <x:c r="C74" s="16" t="str">
        <x:v>C003</x:v>
      </x:c>
      <x:c r="D74" s="16" t="str">
        <x:v>P003</x:v>
      </x:c>
      <x:c r="E74" s="38" t="n">
        <x:v>502</x:v>
      </x:c>
      <x:c r="F74" s="38" t="n">
        <x:v>23.09</x:v>
      </x:c>
      <x:c r="G74" s="20" t="n">
        <x:v>0.05</x:v>
      </x:c>
      <x:c r="H74" s="16" t="str">
        <x:v>D001</x:v>
      </x:c>
      <x:c r="I74" s="16" t="str">
        <x:v>Approved</x:v>
      </x:c>
      <x:c r="J74" s="18" t="n">
        <x:v>46170</x:v>
      </x:c>
      <x:c r="K74" s="16" t="str">
        <x:v>Part Paid</x:v>
      </x:c>
    </x:row>
    <x:row r="75">
      <x:c r="A75" s="16" t="str">
        <x:v>SI-260073</x:v>
      </x:c>
      <x:c r="B75" s="18" t="n">
        <x:v>46126</x:v>
      </x:c>
      <x:c r="C75" s="16" t="str">
        <x:v>C007</x:v>
      </x:c>
      <x:c r="D75" s="16" t="str">
        <x:v>P004</x:v>
      </x:c>
      <x:c r="E75" s="38" t="n">
        <x:v>353</x:v>
      </x:c>
      <x:c r="F75" s="38" t="n">
        <x:v>40.92</x:v>
      </x:c>
      <x:c r="G75" s="20" t="n">
        <x:v>0.05</x:v>
      </x:c>
      <x:c r="H75" s="16" t="str">
        <x:v>D001</x:v>
      </x:c>
      <x:c r="I75" s="16" t="str">
        <x:v>Approved</x:v>
      </x:c>
      <x:c r="J75" s="18" t="n">
        <x:v>46156</x:v>
      </x:c>
      <x:c r="K75" s="16" t="str">
        <x:v>Paid</x:v>
      </x:c>
    </x:row>
    <x:row r="76">
      <x:c r="A76" s="16" t="str">
        <x:v>SI-260074</x:v>
      </x:c>
      <x:c r="B76" s="18" t="n">
        <x:v>46127</x:v>
      </x:c>
      <x:c r="C76" s="16" t="str">
        <x:v>C007</x:v>
      </x:c>
      <x:c r="D76" s="16" t="str">
        <x:v>P001</x:v>
      </x:c>
      <x:c r="E76" s="38" t="n">
        <x:v>561</x:v>
      </x:c>
      <x:c r="F76" s="38" t="n">
        <x:v>34.3</x:v>
      </x:c>
      <x:c r="G76" s="20" t="n">
        <x:v>0.05</x:v>
      </x:c>
      <x:c r="H76" s="16" t="str">
        <x:v>D001</x:v>
      </x:c>
      <x:c r="I76" s="16" t="str">
        <x:v>Approved</x:v>
      </x:c>
      <x:c r="J76" s="18" t="n">
        <x:v>46157</x:v>
      </x:c>
      <x:c r="K76" s="16" t="str">
        <x:v>Open</x:v>
      </x:c>
    </x:row>
    <x:row r="77">
      <x:c r="A77" s="16" t="str">
        <x:v>SI-260075</x:v>
      </x:c>
      <x:c r="B77" s="18" t="n">
        <x:v>46128</x:v>
      </x:c>
      <x:c r="C77" s="16" t="str">
        <x:v>C006</x:v>
      </x:c>
      <x:c r="D77" s="16" t="str">
        <x:v>P005</x:v>
      </x:c>
      <x:c r="E77" s="38" t="n">
        <x:v>894</x:v>
      </x:c>
      <x:c r="F77" s="38" t="n">
        <x:v>70.61</x:v>
      </x:c>
      <x:c r="G77" s="20" t="n">
        <x:v>0.05</x:v>
      </x:c>
      <x:c r="H77" s="16" t="str">
        <x:v>D001</x:v>
      </x:c>
      <x:c r="I77" s="16" t="str">
        <x:v>Approved</x:v>
      </x:c>
      <x:c r="J77" s="18" t="n">
        <x:v>46158</x:v>
      </x:c>
      <x:c r="K77" s="16" t="str">
        <x:v>Paid</x:v>
      </x:c>
    </x:row>
    <x:row r="78">
      <x:c r="A78" s="16" t="str">
        <x:v>SI-260076</x:v>
      </x:c>
      <x:c r="B78" s="18" t="n">
        <x:v>46129</x:v>
      </x:c>
      <x:c r="C78" s="16" t="str">
        <x:v>C001</x:v>
      </x:c>
      <x:c r="D78" s="16" t="str">
        <x:v>P004</x:v>
      </x:c>
      <x:c r="E78" s="38" t="n">
        <x:v>488</x:v>
      </x:c>
      <x:c r="F78" s="38" t="n">
        <x:v>41.56</x:v>
      </x:c>
      <x:c r="G78" s="20" t="n">
        <x:v>0.05</x:v>
      </x:c>
      <x:c r="H78" s="16" t="str">
        <x:v>D001</x:v>
      </x:c>
      <x:c r="I78" s="16" t="str">
        <x:v>Approved</x:v>
      </x:c>
      <x:c r="J78" s="18" t="n">
        <x:v>46159</x:v>
      </x:c>
      <x:c r="K78" s="16" t="str">
        <x:v>Paid</x:v>
      </x:c>
    </x:row>
    <x:row r="79">
      <x:c r="A79" s="16" t="str">
        <x:v>SI-260077</x:v>
      </x:c>
      <x:c r="B79" s="18" t="n">
        <x:v>46130</x:v>
      </x:c>
      <x:c r="C79" s="16" t="str">
        <x:v>C005</x:v>
      </x:c>
      <x:c r="D79" s="16" t="str">
        <x:v>P006</x:v>
      </x:c>
      <x:c r="E79" s="38" t="n">
        <x:v>736</x:v>
      </x:c>
      <x:c r="F79" s="38" t="n">
        <x:v>18.11</x:v>
      </x:c>
      <x:c r="G79" s="20" t="n">
        <x:v>0.05</x:v>
      </x:c>
      <x:c r="H79" s="16" t="str">
        <x:v>D001</x:v>
      </x:c>
      <x:c r="I79" s="16" t="str">
        <x:v>Approved</x:v>
      </x:c>
      <x:c r="J79" s="18" t="n">
        <x:v>46175</x:v>
      </x:c>
      <x:c r="K79" s="16" t="str">
        <x:v>Part Paid</x:v>
      </x:c>
    </x:row>
    <x:row r="80">
      <x:c r="A80" s="16" t="str">
        <x:v>SI-260078</x:v>
      </x:c>
      <x:c r="B80" s="18" t="n">
        <x:v>46131</x:v>
      </x:c>
      <x:c r="C80" s="16" t="str">
        <x:v>C001</x:v>
      </x:c>
      <x:c r="D80" s="16" t="str">
        <x:v>P002</x:v>
      </x:c>
      <x:c r="E80" s="38" t="n">
        <x:v>347</x:v>
      </x:c>
      <x:c r="F80" s="38" t="n">
        <x:v>53.68</x:v>
      </x:c>
      <x:c r="G80" s="20" t="n">
        <x:v>0.05</x:v>
      </x:c>
      <x:c r="H80" s="16" t="str">
        <x:v>D001</x:v>
      </x:c>
      <x:c r="I80" s="16" t="str">
        <x:v>Approved</x:v>
      </x:c>
      <x:c r="J80" s="18" t="n">
        <x:v>46161</x:v>
      </x:c>
      <x:c r="K80" s="16" t="str">
        <x:v>Part Paid</x:v>
      </x:c>
    </x:row>
    <x:row r="81">
      <x:c r="A81" s="16" t="str">
        <x:v>SI-260079</x:v>
      </x:c>
      <x:c r="B81" s="18" t="n">
        <x:v>46132</x:v>
      </x:c>
      <x:c r="C81" s="16" t="str">
        <x:v>C001</x:v>
      </x:c>
      <x:c r="D81" s="16" t="str">
        <x:v>P002</x:v>
      </x:c>
      <x:c r="E81" s="38" t="n">
        <x:v>690</x:v>
      </x:c>
      <x:c r="F81" s="38" t="n">
        <x:v>54.95</x:v>
      </x:c>
      <x:c r="G81" s="20" t="n">
        <x:v>0.05</x:v>
      </x:c>
      <x:c r="H81" s="16" t="str">
        <x:v>D001</x:v>
      </x:c>
      <x:c r="I81" s="16" t="str">
        <x:v>Approved</x:v>
      </x:c>
      <x:c r="J81" s="18" t="n">
        <x:v>46162</x:v>
      </x:c>
      <x:c r="K81" s="16" t="str">
        <x:v>Part Paid</x:v>
      </x:c>
    </x:row>
    <x:row r="82">
      <x:c r="A82" s="16" t="str">
        <x:v>SI-260080</x:v>
      </x:c>
      <x:c r="B82" s="18" t="n">
        <x:v>46133</x:v>
      </x:c>
      <x:c r="C82" s="16" t="str">
        <x:v>C007</x:v>
      </x:c>
      <x:c r="D82" s="16" t="str">
        <x:v>P002</x:v>
      </x:c>
      <x:c r="E82" s="38" t="n">
        <x:v>474</x:v>
      </x:c>
      <x:c r="F82" s="38" t="n">
        <x:v>57.25</x:v>
      </x:c>
      <x:c r="G82" s="20" t="n">
        <x:v>0.05</x:v>
      </x:c>
      <x:c r="H82" s="16" t="str">
        <x:v>D001</x:v>
      </x:c>
      <x:c r="I82" s="16" t="str">
        <x:v>Approved</x:v>
      </x:c>
      <x:c r="J82" s="18" t="n">
        <x:v>46163</x:v>
      </x:c>
      <x:c r="K82" s="16" t="str">
        <x:v>Paid</x:v>
      </x:c>
    </x:row>
    <x:row r="83">
      <x:c r="A83" s="16" t="str">
        <x:v>SI-260081</x:v>
      </x:c>
      <x:c r="B83" s="18" t="n">
        <x:v>46144</x:v>
      </x:c>
      <x:c r="C83" s="16" t="str">
        <x:v>C005</x:v>
      </x:c>
      <x:c r="D83" s="16" t="str">
        <x:v>P001</x:v>
      </x:c>
      <x:c r="E83" s="38" t="n">
        <x:v>805</x:v>
      </x:c>
      <x:c r="F83" s="38" t="n">
        <x:v>34.97</x:v>
      </x:c>
      <x:c r="G83" s="20" t="n">
        <x:v>0.05</x:v>
      </x:c>
      <x:c r="H83" s="16" t="str">
        <x:v>D001</x:v>
      </x:c>
      <x:c r="I83" s="16" t="str">
        <x:v>Approved</x:v>
      </x:c>
      <x:c r="J83" s="18" t="n">
        <x:v>46189</x:v>
      </x:c>
      <x:c r="K83" s="16" t="str">
        <x:v>Paid</x:v>
      </x:c>
    </x:row>
    <x:row r="84">
      <x:c r="A84" s="16" t="str">
        <x:v>SI-260082</x:v>
      </x:c>
      <x:c r="B84" s="18" t="n">
        <x:v>46145</x:v>
      </x:c>
      <x:c r="C84" s="16" t="str">
        <x:v>C006</x:v>
      </x:c>
      <x:c r="D84" s="16" t="str">
        <x:v>P007</x:v>
      </x:c>
      <x:c r="E84" s="38" t="n">
        <x:v>151</x:v>
      </x:c>
      <x:c r="F84" s="38" t="n">
        <x:v>99.31</x:v>
      </x:c>
      <x:c r="G84" s="20" t="n">
        <x:v>0.05</x:v>
      </x:c>
      <x:c r="H84" s="16" t="str">
        <x:v>D001</x:v>
      </x:c>
      <x:c r="I84" s="16" t="str">
        <x:v>Approved</x:v>
      </x:c>
      <x:c r="J84" s="18" t="n">
        <x:v>46175</x:v>
      </x:c>
      <x:c r="K84" s="16" t="str">
        <x:v>Part Paid</x:v>
      </x:c>
    </x:row>
    <x:row r="85">
      <x:c r="A85" s="16" t="str">
        <x:v>SI-260083</x:v>
      </x:c>
      <x:c r="B85" s="18" t="n">
        <x:v>46146</x:v>
      </x:c>
      <x:c r="C85" s="16" t="str">
        <x:v>C010</x:v>
      </x:c>
      <x:c r="D85" s="16" t="str">
        <x:v>P006</x:v>
      </x:c>
      <x:c r="E85" s="38" t="n">
        <x:v>759</x:v>
      </x:c>
      <x:c r="F85" s="38" t="n">
        <x:v>18.65</x:v>
      </x:c>
      <x:c r="G85" s="20" t="n">
        <x:v>0.05</x:v>
      </x:c>
      <x:c r="H85" s="16" t="str">
        <x:v>D001</x:v>
      </x:c>
      <x:c r="I85" s="16" t="str">
        <x:v>Approved</x:v>
      </x:c>
      <x:c r="J85" s="18" t="n">
        <x:v>46176</x:v>
      </x:c>
      <x:c r="K85" s="16" t="str">
        <x:v>Part Paid</x:v>
      </x:c>
    </x:row>
    <x:row r="86">
      <x:c r="A86" s="16" t="str">
        <x:v>SI-260084</x:v>
      </x:c>
      <x:c r="B86" s="18" t="n">
        <x:v>46147</x:v>
      </x:c>
      <x:c r="C86" s="16" t="str">
        <x:v>C009</x:v>
      </x:c>
      <x:c r="D86" s="16" t="str">
        <x:v>P005</x:v>
      </x:c>
      <x:c r="E86" s="38" t="n">
        <x:v>762</x:v>
      </x:c>
      <x:c r="F86" s="38" t="n">
        <x:v>67.78</x:v>
      </x:c>
      <x:c r="G86" s="20" t="n">
        <x:v>0.05</x:v>
      </x:c>
      <x:c r="H86" s="16" t="str">
        <x:v>D001</x:v>
      </x:c>
      <x:c r="I86" s="16" t="str">
        <x:v>Approved</x:v>
      </x:c>
      <x:c r="J86" s="18" t="n">
        <x:v>46192</x:v>
      </x:c>
      <x:c r="K86" s="16" t="str">
        <x:v>Open</x:v>
      </x:c>
    </x:row>
    <x:row r="87">
      <x:c r="A87" s="16" t="str">
        <x:v>SI-260085</x:v>
      </x:c>
      <x:c r="B87" s="18" t="n">
        <x:v>46148</x:v>
      </x:c>
      <x:c r="C87" s="16" t="str">
        <x:v>C005</x:v>
      </x:c>
      <x:c r="D87" s="16" t="str">
        <x:v>P003</x:v>
      </x:c>
      <x:c r="E87" s="38" t="n">
        <x:v>276</x:v>
      </x:c>
      <x:c r="F87" s="38" t="n">
        <x:v>23.95</x:v>
      </x:c>
      <x:c r="G87" s="20" t="n">
        <x:v>0.05</x:v>
      </x:c>
      <x:c r="H87" s="16" t="str">
        <x:v>D001</x:v>
      </x:c>
      <x:c r="I87" s="16" t="str">
        <x:v>Approved</x:v>
      </x:c>
      <x:c r="J87" s="18" t="n">
        <x:v>46193</x:v>
      </x:c>
      <x:c r="K87" s="16" t="str">
        <x:v>Open</x:v>
      </x:c>
    </x:row>
    <x:row r="88">
      <x:c r="A88" s="16" t="str">
        <x:v>SI-260086</x:v>
      </x:c>
      <x:c r="B88" s="18" t="n">
        <x:v>46149</x:v>
      </x:c>
      <x:c r="C88" s="16" t="str">
        <x:v>C003</x:v>
      </x:c>
      <x:c r="D88" s="16" t="str">
        <x:v>P005</x:v>
      </x:c>
      <x:c r="E88" s="38" t="n">
        <x:v>495</x:v>
      </x:c>
      <x:c r="F88" s="38" t="n">
        <x:v>68.63</x:v>
      </x:c>
      <x:c r="G88" s="20" t="n">
        <x:v>0.05</x:v>
      </x:c>
      <x:c r="H88" s="16" t="str">
        <x:v>D001</x:v>
      </x:c>
      <x:c r="I88" s="16" t="str">
        <x:v>Approved</x:v>
      </x:c>
      <x:c r="J88" s="18" t="n">
        <x:v>46194</x:v>
      </x:c>
      <x:c r="K88" s="16" t="str">
        <x:v>Paid</x:v>
      </x:c>
    </x:row>
    <x:row r="89">
      <x:c r="A89" s="16" t="str">
        <x:v>SI-260087</x:v>
      </x:c>
      <x:c r="B89" s="18" t="n">
        <x:v>46150</x:v>
      </x:c>
      <x:c r="C89" s="16" t="str">
        <x:v>C005</x:v>
      </x:c>
      <x:c r="D89" s="16" t="str">
        <x:v>P005</x:v>
      </x:c>
      <x:c r="E89" s="38" t="n">
        <x:v>295</x:v>
      </x:c>
      <x:c r="F89" s="38" t="n">
        <x:v>67.91</x:v>
      </x:c>
      <x:c r="G89" s="20" t="n">
        <x:v>0.05</x:v>
      </x:c>
      <x:c r="H89" s="16" t="str">
        <x:v>D001</x:v>
      </x:c>
      <x:c r="I89" s="16" t="str">
        <x:v>Approved</x:v>
      </x:c>
      <x:c r="J89" s="18" t="n">
        <x:v>46195</x:v>
      </x:c>
      <x:c r="K89" s="16" t="str">
        <x:v>Part Paid</x:v>
      </x:c>
    </x:row>
    <x:row r="90">
      <x:c r="A90" s="16" t="str">
        <x:v>SI-260088</x:v>
      </x:c>
      <x:c r="B90" s="18" t="n">
        <x:v>46151</x:v>
      </x:c>
      <x:c r="C90" s="16" t="str">
        <x:v>C008</x:v>
      </x:c>
      <x:c r="D90" s="16" t="str">
        <x:v>P008</x:v>
      </x:c>
      <x:c r="E90" s="38" t="n">
        <x:v>532</x:v>
      </x:c>
      <x:c r="F90" s="38" t="n">
        <x:v>148.02</x:v>
      </x:c>
      <x:c r="G90" s="20" t="n">
        <x:v>0.05</x:v>
      </x:c>
      <x:c r="H90" s="16" t="str">
        <x:v>D001</x:v>
      </x:c>
      <x:c r="I90" s="16" t="str">
        <x:v>Approved</x:v>
      </x:c>
      <x:c r="J90" s="18" t="n">
        <x:v>46166</x:v>
      </x:c>
      <x:c r="K90" s="16" t="str">
        <x:v>Open</x:v>
      </x:c>
    </x:row>
    <x:row r="91">
      <x:c r="A91" s="16" t="str">
        <x:v>SI-260089</x:v>
      </x:c>
      <x:c r="B91" s="18" t="n">
        <x:v>46152</x:v>
      </x:c>
      <x:c r="C91" s="16" t="str">
        <x:v>C003</x:v>
      </x:c>
      <x:c r="D91" s="16" t="str">
        <x:v>P002</x:v>
      </x:c>
      <x:c r="E91" s="38" t="n">
        <x:v>370</x:v>
      </x:c>
      <x:c r="F91" s="38" t="n">
        <x:v>55.35</x:v>
      </x:c>
      <x:c r="G91" s="20" t="n">
        <x:v>0.05</x:v>
      </x:c>
      <x:c r="H91" s="16" t="str">
        <x:v>D001</x:v>
      </x:c>
      <x:c r="I91" s="16" t="str">
        <x:v>Approved</x:v>
      </x:c>
      <x:c r="J91" s="18" t="n">
        <x:v>46197</x:v>
      </x:c>
      <x:c r="K91" s="16" t="str">
        <x:v>Part Paid</x:v>
      </x:c>
    </x:row>
    <x:row r="92">
      <x:c r="A92" s="16" t="str">
        <x:v>SI-260090</x:v>
      </x:c>
      <x:c r="B92" s="18" t="n">
        <x:v>46153</x:v>
      </x:c>
      <x:c r="C92" s="16" t="str">
        <x:v>C002</x:v>
      </x:c>
      <x:c r="D92" s="16" t="str">
        <x:v>P004</x:v>
      </x:c>
      <x:c r="E92" s="38" t="n">
        <x:v>768</x:v>
      </x:c>
      <x:c r="F92" s="38" t="n">
        <x:v>41.49</x:v>
      </x:c>
      <x:c r="G92" s="20" t="n">
        <x:v>0.05</x:v>
      </x:c>
      <x:c r="H92" s="16" t="str">
        <x:v>D001</x:v>
      </x:c>
      <x:c r="I92" s="16" t="str">
        <x:v>Approved</x:v>
      </x:c>
      <x:c r="J92" s="18" t="n">
        <x:v>46183</x:v>
      </x:c>
      <x:c r="K92" s="16" t="str">
        <x:v>Paid</x:v>
      </x:c>
    </x:row>
    <x:row r="93">
      <x:c r="A93" s="16" t="str">
        <x:v>SI-260091</x:v>
      </x:c>
      <x:c r="B93" s="18" t="n">
        <x:v>46154</x:v>
      </x:c>
      <x:c r="C93" s="16" t="str">
        <x:v>C003</x:v>
      </x:c>
      <x:c r="D93" s="16" t="str">
        <x:v>P001</x:v>
      </x:c>
      <x:c r="E93" s="38" t="n">
        <x:v>127</x:v>
      </x:c>
      <x:c r="F93" s="38" t="n">
        <x:v>34.37</x:v>
      </x:c>
      <x:c r="G93" s="20" t="n">
        <x:v>0.05</x:v>
      </x:c>
      <x:c r="H93" s="16" t="str">
        <x:v>D001</x:v>
      </x:c>
      <x:c r="I93" s="16" t="str">
        <x:v>Approved</x:v>
      </x:c>
      <x:c r="J93" s="18" t="n">
        <x:v>46199</x:v>
      </x:c>
      <x:c r="K93" s="16" t="str">
        <x:v>Open</x:v>
      </x:c>
    </x:row>
    <x:row r="94">
      <x:c r="A94" s="16" t="str">
        <x:v>SI-260092</x:v>
      </x:c>
      <x:c r="B94" s="18" t="n">
        <x:v>46155</x:v>
      </x:c>
      <x:c r="C94" s="16" t="str">
        <x:v>C010</x:v>
      </x:c>
      <x:c r="D94" s="16" t="str">
        <x:v>P002</x:v>
      </x:c>
      <x:c r="E94" s="38" t="n">
        <x:v>546</x:v>
      </x:c>
      <x:c r="F94" s="38" t="n">
        <x:v>54.85</x:v>
      </x:c>
      <x:c r="G94" s="20" t="n">
        <x:v>0.05</x:v>
      </x:c>
      <x:c r="H94" s="16" t="str">
        <x:v>D001</x:v>
      </x:c>
      <x:c r="I94" s="16" t="str">
        <x:v>Approved</x:v>
      </x:c>
      <x:c r="J94" s="18" t="n">
        <x:v>46185</x:v>
      </x:c>
      <x:c r="K94" s="16" t="str">
        <x:v>Paid</x:v>
      </x:c>
    </x:row>
    <x:row r="95">
      <x:c r="A95" s="16" t="str">
        <x:v>SI-260093</x:v>
      </x:c>
      <x:c r="B95" s="18" t="n">
        <x:v>46156</x:v>
      </x:c>
      <x:c r="C95" s="16" t="str">
        <x:v>C007</x:v>
      </x:c>
      <x:c r="D95" s="16" t="str">
        <x:v>P008</x:v>
      </x:c>
      <x:c r="E95" s="38" t="n">
        <x:v>489</x:v>
      </x:c>
      <x:c r="F95" s="38" t="n">
        <x:v>142.38</x:v>
      </x:c>
      <x:c r="G95" s="20" t="n">
        <x:v>0.05</x:v>
      </x:c>
      <x:c r="H95" s="16" t="str">
        <x:v>D001</x:v>
      </x:c>
      <x:c r="I95" s="16" t="str">
        <x:v>Approved</x:v>
      </x:c>
      <x:c r="J95" s="18" t="n">
        <x:v>46186</x:v>
      </x:c>
      <x:c r="K95" s="16" t="str">
        <x:v>Paid</x:v>
      </x:c>
    </x:row>
    <x:row r="96">
      <x:c r="A96" s="16" t="str">
        <x:v>SI-260094</x:v>
      </x:c>
      <x:c r="B96" s="18" t="n">
        <x:v>46157</x:v>
      </x:c>
      <x:c r="C96" s="16" t="str">
        <x:v>C002</x:v>
      </x:c>
      <x:c r="D96" s="16" t="str">
        <x:v>P007</x:v>
      </x:c>
      <x:c r="E96" s="38" t="n">
        <x:v>304</x:v>
      </x:c>
      <x:c r="F96" s="38" t="n">
        <x:v>92.7</x:v>
      </x:c>
      <x:c r="G96" s="20" t="n">
        <x:v>0.05</x:v>
      </x:c>
      <x:c r="H96" s="16" t="str">
        <x:v>D001</x:v>
      </x:c>
      <x:c r="I96" s="16" t="str">
        <x:v>Approved</x:v>
      </x:c>
      <x:c r="J96" s="18" t="n">
        <x:v>46187</x:v>
      </x:c>
      <x:c r="K96" s="16" t="str">
        <x:v>Open</x:v>
      </x:c>
    </x:row>
    <x:row r="97">
      <x:c r="A97" s="16" t="str">
        <x:v>SI-260095</x:v>
      </x:c>
      <x:c r="B97" s="18" t="n">
        <x:v>46158</x:v>
      </x:c>
      <x:c r="C97" s="16" t="str">
        <x:v>C001</x:v>
      </x:c>
      <x:c r="D97" s="16" t="str">
        <x:v>P004</x:v>
      </x:c>
      <x:c r="E97" s="38" t="n">
        <x:v>204</x:v>
      </x:c>
      <x:c r="F97" s="38" t="n">
        <x:v>42.05</x:v>
      </x:c>
      <x:c r="G97" s="20" t="n">
        <x:v>0.05</x:v>
      </x:c>
      <x:c r="H97" s="16" t="str">
        <x:v>D001</x:v>
      </x:c>
      <x:c r="I97" s="16" t="str">
        <x:v>Approved</x:v>
      </x:c>
      <x:c r="J97" s="18" t="n">
        <x:v>46188</x:v>
      </x:c>
      <x:c r="K97" s="16" t="str">
        <x:v>Open</x:v>
      </x:c>
    </x:row>
    <x:row r="98">
      <x:c r="A98" s="16" t="str">
        <x:v>SI-260096</x:v>
      </x:c>
      <x:c r="B98" s="18" t="n">
        <x:v>46159</x:v>
      </x:c>
      <x:c r="C98" s="16" t="str">
        <x:v>C009</x:v>
      </x:c>
      <x:c r="D98" s="16" t="str">
        <x:v>P006</x:v>
      </x:c>
      <x:c r="E98" s="38" t="n">
        <x:v>853</x:v>
      </x:c>
      <x:c r="F98" s="38" t="n">
        <x:v>18.72</x:v>
      </x:c>
      <x:c r="G98" s="20" t="n">
        <x:v>0.05</x:v>
      </x:c>
      <x:c r="H98" s="16" t="str">
        <x:v>D001</x:v>
      </x:c>
      <x:c r="I98" s="16" t="str">
        <x:v>Approved</x:v>
      </x:c>
      <x:c r="J98" s="18" t="n">
        <x:v>46204</x:v>
      </x:c>
      <x:c r="K98" s="16" t="str">
        <x:v>Open</x:v>
      </x:c>
    </x:row>
    <x:row r="99">
      <x:c r="A99" s="16" t="str">
        <x:v>SI-260097</x:v>
      </x:c>
      <x:c r="B99" s="18" t="n">
        <x:v>46160</x:v>
      </x:c>
      <x:c r="C99" s="16" t="str">
        <x:v>C009</x:v>
      </x:c>
      <x:c r="D99" s="16" t="str">
        <x:v>P008</x:v>
      </x:c>
      <x:c r="E99" s="38" t="n">
        <x:v>242</x:v>
      </x:c>
      <x:c r="F99" s="38" t="n">
        <x:v>148.9</x:v>
      </x:c>
      <x:c r="G99" s="20" t="n">
        <x:v>0.05</x:v>
      </x:c>
      <x:c r="H99" s="16" t="str">
        <x:v>D001</x:v>
      </x:c>
      <x:c r="I99" s="16" t="str">
        <x:v>Approved</x:v>
      </x:c>
      <x:c r="J99" s="18" t="n">
        <x:v>46205</x:v>
      </x:c>
      <x:c r="K99" s="16" t="str">
        <x:v>Open</x:v>
      </x:c>
    </x:row>
    <x:row r="100">
      <x:c r="A100" s="16" t="str">
        <x:v>SI-260098</x:v>
      </x:c>
      <x:c r="B100" s="18" t="n">
        <x:v>46161</x:v>
      </x:c>
      <x:c r="C100" s="16" t="str">
        <x:v>C008</x:v>
      </x:c>
      <x:c r="D100" s="16" t="str">
        <x:v>P005</x:v>
      </x:c>
      <x:c r="E100" s="38" t="n">
        <x:v>849</x:v>
      </x:c>
      <x:c r="F100" s="38" t="n">
        <x:v>66.79</x:v>
      </x:c>
      <x:c r="G100" s="20" t="n">
        <x:v>0.05</x:v>
      </x:c>
      <x:c r="H100" s="16" t="str">
        <x:v>D001</x:v>
      </x:c>
      <x:c r="I100" s="16" t="str">
        <x:v>Approved</x:v>
      </x:c>
      <x:c r="J100" s="18" t="n">
        <x:v>46176</x:v>
      </x:c>
      <x:c r="K100" s="16" t="str">
        <x:v>Part Paid</x:v>
      </x:c>
    </x:row>
    <x:row r="101">
      <x:c r="A101" s="16" t="str">
        <x:v>SI-260099</x:v>
      </x:c>
      <x:c r="B101" s="18" t="n">
        <x:v>46162</x:v>
      </x:c>
      <x:c r="C101" s="16" t="str">
        <x:v>C009</x:v>
      </x:c>
      <x:c r="D101" s="16" t="str">
        <x:v>P008</x:v>
      </x:c>
      <x:c r="E101" s="16" t="n">
        <x:v>721</x:v>
      </x:c>
      <x:c r="F101" s="16" t="n">
        <x:v>142.32</x:v>
      </x:c>
      <x:c r="G101" s="16" t="n">
        <x:v>0.05</x:v>
      </x:c>
      <x:c r="H101" s="16" t="str">
        <x:v>D001</x:v>
      </x:c>
      <x:c r="I101" s="16" t="str">
        <x:v>Approved</x:v>
      </x:c>
      <x:c r="J101" s="18" t="n">
        <x:v>46207</x:v>
      </x:c>
      <x:c r="K101" s="16" t="str">
        <x:v>Open</x:v>
      </x:c>
    </x:row>
    <x:row r="102">
      <x:c r="A102" s="16" t="str">
        <x:v>SI-260100</x:v>
      </x:c>
      <x:c r="B102" s="18" t="n">
        <x:v>46163</x:v>
      </x:c>
      <x:c r="C102" s="16" t="str">
        <x:v>C002</x:v>
      </x:c>
      <x:c r="D102" s="16" t="str">
        <x:v>P005</x:v>
      </x:c>
      <x:c r="E102" s="16" t="n">
        <x:v>320</x:v>
      </x:c>
      <x:c r="F102" s="16" t="n">
        <x:v>66.94</x:v>
      </x:c>
      <x:c r="G102" s="16" t="n">
        <x:v>0.05</x:v>
      </x:c>
      <x:c r="H102" s="16" t="str">
        <x:v>D001</x:v>
      </x:c>
      <x:c r="I102" s="16" t="str">
        <x:v>Approved</x:v>
      </x:c>
      <x:c r="J102" s="18" t="n">
        <x:v>46193</x:v>
      </x:c>
      <x:c r="K102" s="16" t="str">
        <x:v>Part Paid</x:v>
      </x:c>
    </x:row>
    <x:row r="103">
      <x:c r="A103" s="16" t="str">
        <x:v>SI-260101</x:v>
      </x:c>
      <x:c r="B103" s="18" t="n">
        <x:v>46175</x:v>
      </x:c>
      <x:c r="C103" s="16" t="str">
        <x:v>C009</x:v>
      </x:c>
      <x:c r="D103" s="16" t="str">
        <x:v>P002</x:v>
      </x:c>
      <x:c r="E103" s="16" t="n">
        <x:v>221</x:v>
      </x:c>
      <x:c r="F103" s="16" t="n">
        <x:v>53.55</x:v>
      </x:c>
      <x:c r="G103" s="16" t="n">
        <x:v>0.05</x:v>
      </x:c>
      <x:c r="H103" s="16" t="str">
        <x:v>D001</x:v>
      </x:c>
      <x:c r="I103" s="16" t="str">
        <x:v>Approved</x:v>
      </x:c>
      <x:c r="J103" s="18" t="n">
        <x:v>46220</x:v>
      </x:c>
      <x:c r="K103" s="16" t="str">
        <x:v>Open</x:v>
      </x:c>
    </x:row>
    <x:row r="104">
      <x:c r="A104" s="16" t="str">
        <x:v>SI-260102</x:v>
      </x:c>
      <x:c r="B104" s="18" t="n">
        <x:v>46176</x:v>
      </x:c>
      <x:c r="C104" s="16" t="str">
        <x:v>C003</x:v>
      </x:c>
      <x:c r="D104" s="16" t="str">
        <x:v>P004</x:v>
      </x:c>
      <x:c r="E104" s="16" t="n">
        <x:v>145</x:v>
      </x:c>
      <x:c r="F104" s="16" t="n">
        <x:v>41.89</x:v>
      </x:c>
      <x:c r="G104" s="16" t="n">
        <x:v>0.05</x:v>
      </x:c>
      <x:c r="H104" s="16" t="str">
        <x:v>D001</x:v>
      </x:c>
      <x:c r="I104" s="16" t="str">
        <x:v>Approved</x:v>
      </x:c>
      <x:c r="J104" s="18" t="n">
        <x:v>46221</x:v>
      </x:c>
      <x:c r="K104" s="16" t="str">
        <x:v>Part Paid</x:v>
      </x:c>
    </x:row>
    <x:row r="105">
      <x:c r="A105" s="16" t="str">
        <x:v>SI-260103</x:v>
      </x:c>
      <x:c r="B105" s="18" t="n">
        <x:v>46177</x:v>
      </x:c>
      <x:c r="C105" s="16" t="str">
        <x:v>C009</x:v>
      </x:c>
      <x:c r="D105" s="16" t="str">
        <x:v>P008</x:v>
      </x:c>
      <x:c r="E105" s="16" t="n">
        <x:v>505</x:v>
      </x:c>
      <x:c r="F105" s="16" t="n">
        <x:v>140.01</x:v>
      </x:c>
      <x:c r="G105" s="16" t="n">
        <x:v>0.05</x:v>
      </x:c>
      <x:c r="H105" s="16" t="str">
        <x:v>D001</x:v>
      </x:c>
      <x:c r="I105" s="16" t="str">
        <x:v>Approved</x:v>
      </x:c>
      <x:c r="J105" s="18" t="n">
        <x:v>46222</x:v>
      </x:c>
      <x:c r="K105" s="16" t="str">
        <x:v>Open</x:v>
      </x:c>
    </x:row>
    <x:row r="106">
      <x:c r="A106" s="16" t="str">
        <x:v>SI-260104</x:v>
      </x:c>
      <x:c r="B106" s="18" t="n">
        <x:v>46178</x:v>
      </x:c>
      <x:c r="C106" s="16" t="str">
        <x:v>C007</x:v>
      </x:c>
      <x:c r="D106" s="16" t="str">
        <x:v>P001</x:v>
      </x:c>
      <x:c r="E106" s="16" t="n">
        <x:v>863</x:v>
      </x:c>
      <x:c r="F106" s="16" t="n">
        <x:v>35.41</x:v>
      </x:c>
      <x:c r="G106" s="16" t="n">
        <x:v>0.05</x:v>
      </x:c>
      <x:c r="H106" s="16" t="str">
        <x:v>D001</x:v>
      </x:c>
      <x:c r="I106" s="16" t="str">
        <x:v>Approved</x:v>
      </x:c>
      <x:c r="J106" s="18" t="n">
        <x:v>46208</x:v>
      </x:c>
      <x:c r="K106" s="16" t="str">
        <x:v>Open</x:v>
      </x:c>
    </x:row>
    <x:row r="107">
      <x:c r="A107" s="16" t="str">
        <x:v>SI-260105</x:v>
      </x:c>
      <x:c r="B107" s="18" t="n">
        <x:v>46179</x:v>
      </x:c>
      <x:c r="C107" s="16" t="str">
        <x:v>C001</x:v>
      </x:c>
      <x:c r="D107" s="16" t="str">
        <x:v>P006</x:v>
      </x:c>
      <x:c r="E107" s="16" t="n">
        <x:v>385</x:v>
      </x:c>
      <x:c r="F107" s="16" t="n">
        <x:v>18.5</x:v>
      </x:c>
      <x:c r="G107" s="16" t="n">
        <x:v>0.05</x:v>
      </x:c>
      <x:c r="H107" s="16" t="str">
        <x:v>D001</x:v>
      </x:c>
      <x:c r="I107" s="16" t="str">
        <x:v>Approved</x:v>
      </x:c>
      <x:c r="J107" s="18" t="n">
        <x:v>46209</x:v>
      </x:c>
      <x:c r="K107" s="16" t="str">
        <x:v>Open</x:v>
      </x:c>
    </x:row>
    <x:row r="108">
      <x:c r="A108" s="16" t="str">
        <x:v>SI-260106</x:v>
      </x:c>
      <x:c r="B108" s="18" t="n">
        <x:v>46180</x:v>
      </x:c>
      <x:c r="C108" s="16" t="str">
        <x:v>C009</x:v>
      </x:c>
      <x:c r="D108" s="16" t="str">
        <x:v>P004</x:v>
      </x:c>
      <x:c r="E108" s="16" t="n">
        <x:v>579</x:v>
      </x:c>
      <x:c r="F108" s="16" t="n">
        <x:v>41.15</x:v>
      </x:c>
      <x:c r="G108" s="16" t="n">
        <x:v>0.05</x:v>
      </x:c>
      <x:c r="H108" s="16" t="str">
        <x:v>D001</x:v>
      </x:c>
      <x:c r="I108" s="16" t="str">
        <x:v>Approved</x:v>
      </x:c>
      <x:c r="J108" s="18" t="n">
        <x:v>46225</x:v>
      </x:c>
      <x:c r="K108" s="16" t="str">
        <x:v>Open</x:v>
      </x:c>
    </x:row>
    <x:row r="109">
      <x:c r="A109" s="16" t="str">
        <x:v>SI-260107</x:v>
      </x:c>
      <x:c r="B109" s="18" t="n">
        <x:v>46181</x:v>
      </x:c>
      <x:c r="C109" s="16" t="str">
        <x:v>C008</x:v>
      </x:c>
      <x:c r="D109" s="16" t="str">
        <x:v>P001</x:v>
      </x:c>
      <x:c r="E109" s="16" t="n">
        <x:v>478</x:v>
      </x:c>
      <x:c r="F109" s="16" t="n">
        <x:v>34.66</x:v>
      </x:c>
      <x:c r="G109" s="16" t="n">
        <x:v>0.05</x:v>
      </x:c>
      <x:c r="H109" s="16" t="str">
        <x:v>D001</x:v>
      </x:c>
      <x:c r="I109" s="16" t="str">
        <x:v>Approved</x:v>
      </x:c>
      <x:c r="J109" s="18" t="n">
        <x:v>46196</x:v>
      </x:c>
      <x:c r="K109" s="16" t="str">
        <x:v>Open</x:v>
      </x:c>
    </x:row>
    <x:row r="110">
      <x:c r="A110" s="16" t="str">
        <x:v>SI-260108</x:v>
      </x:c>
      <x:c r="B110" s="18" t="n">
        <x:v>46182</x:v>
      </x:c>
      <x:c r="C110" s="16" t="str">
        <x:v>C003</x:v>
      </x:c>
      <x:c r="D110" s="16" t="str">
        <x:v>P008</x:v>
      </x:c>
      <x:c r="E110" s="16" t="n">
        <x:v>210</x:v>
      </x:c>
      <x:c r="F110" s="16" t="n">
        <x:v>152</x:v>
      </x:c>
      <x:c r="G110" s="16" t="n">
        <x:v>0.05</x:v>
      </x:c>
      <x:c r="H110" s="16" t="str">
        <x:v>D001</x:v>
      </x:c>
      <x:c r="I110" s="16" t="str">
        <x:v>Approved</x:v>
      </x:c>
      <x:c r="J110" s="18" t="n">
        <x:v>46227</x:v>
      </x:c>
      <x:c r="K110" s="16" t="str">
        <x:v>Paid</x:v>
      </x:c>
    </x:row>
    <x:row r="111">
      <x:c r="A111" s="16" t="str">
        <x:v>SI-260109</x:v>
      </x:c>
      <x:c r="B111" s="18" t="n">
        <x:v>46183</x:v>
      </x:c>
      <x:c r="C111" s="16" t="str">
        <x:v>C007</x:v>
      </x:c>
      <x:c r="D111" s="16" t="str">
        <x:v>P001</x:v>
      </x:c>
      <x:c r="E111" s="16" t="n">
        <x:v>165</x:v>
      </x:c>
      <x:c r="F111" s="16" t="n">
        <x:v>35.62</x:v>
      </x:c>
      <x:c r="G111" s="16" t="n">
        <x:v>0.05</x:v>
      </x:c>
      <x:c r="H111" s="16" t="str">
        <x:v>D001</x:v>
      </x:c>
      <x:c r="I111" s="16" t="str">
        <x:v>Approved</x:v>
      </x:c>
      <x:c r="J111" s="18" t="n">
        <x:v>46213</x:v>
      </x:c>
      <x:c r="K111" s="16" t="str">
        <x:v>Paid</x:v>
      </x:c>
    </x:row>
    <x:row r="112">
      <x:c r="A112" s="16" t="str">
        <x:v>SI-260110</x:v>
      </x:c>
      <x:c r="B112" s="18" t="n">
        <x:v>46184</x:v>
      </x:c>
      <x:c r="C112" s="16" t="str">
        <x:v>C008</x:v>
      </x:c>
      <x:c r="D112" s="16" t="str">
        <x:v>P003</x:v>
      </x:c>
      <x:c r="E112" s="16" t="n">
        <x:v>131</x:v>
      </x:c>
      <x:c r="F112" s="16" t="n">
        <x:v>23.6</x:v>
      </x:c>
      <x:c r="G112" s="16" t="n">
        <x:v>0.05</x:v>
      </x:c>
      <x:c r="H112" s="16" t="str">
        <x:v>D001</x:v>
      </x:c>
      <x:c r="I112" s="16" t="str">
        <x:v>Approved</x:v>
      </x:c>
      <x:c r="J112" s="18" t="n">
        <x:v>46199</x:v>
      </x:c>
      <x:c r="K112" s="16" t="str">
        <x:v>Part Paid</x:v>
      </x:c>
    </x:row>
    <x:row r="113">
      <x:c r="A113" s="16" t="str">
        <x:v>SI-260111</x:v>
      </x:c>
      <x:c r="B113" s="18" t="n">
        <x:v>46185</x:v>
      </x:c>
      <x:c r="C113" s="16" t="str">
        <x:v>C004</x:v>
      </x:c>
      <x:c r="D113" s="16" t="str">
        <x:v>P008</x:v>
      </x:c>
      <x:c r="E113" s="16" t="n">
        <x:v>414</x:v>
      </x:c>
      <x:c r="F113" s="16" t="n">
        <x:v>143.6</x:v>
      </x:c>
      <x:c r="G113" s="16" t="n">
        <x:v>0.05</x:v>
      </x:c>
      <x:c r="H113" s="16" t="str">
        <x:v>D001</x:v>
      </x:c>
      <x:c r="I113" s="16" t="str">
        <x:v>Approved</x:v>
      </x:c>
      <x:c r="J113" s="18" t="n">
        <x:v>46215</x:v>
      </x:c>
      <x:c r="K113" s="16" t="str">
        <x:v>Open</x:v>
      </x:c>
    </x:row>
    <x:row r="114">
      <x:c r="A114" s="16" t="str">
        <x:v>SI-260112</x:v>
      </x:c>
      <x:c r="B114" s="18" t="n">
        <x:v>46186</x:v>
      </x:c>
      <x:c r="C114" s="16" t="str">
        <x:v>C005</x:v>
      </x:c>
      <x:c r="D114" s="16" t="str">
        <x:v>P007</x:v>
      </x:c>
      <x:c r="E114" s="16" t="n">
        <x:v>338</x:v>
      </x:c>
      <x:c r="F114" s="16" t="n">
        <x:v>98.34</x:v>
      </x:c>
      <x:c r="G114" s="16" t="n">
        <x:v>0.05</x:v>
      </x:c>
      <x:c r="H114" s="16" t="str">
        <x:v>D001</x:v>
      </x:c>
      <x:c r="I114" s="16" t="str">
        <x:v>Approved</x:v>
      </x:c>
      <x:c r="J114" s="18" t="n">
        <x:v>46231</x:v>
      </x:c>
      <x:c r="K114" s="16" t="str">
        <x:v>Open</x:v>
      </x:c>
    </x:row>
    <x:row r="115">
      <x:c r="A115" s="16" t="str">
        <x:v>SI-260113</x:v>
      </x:c>
      <x:c r="B115" s="18" t="n">
        <x:v>46187</x:v>
      </x:c>
      <x:c r="C115" s="16" t="str">
        <x:v>C001</x:v>
      </x:c>
      <x:c r="D115" s="16" t="str">
        <x:v>P001</x:v>
      </x:c>
      <x:c r="E115" s="16" t="n">
        <x:v>438</x:v>
      </x:c>
      <x:c r="F115" s="16" t="n">
        <x:v>34.31</x:v>
      </x:c>
      <x:c r="G115" s="16" t="n">
        <x:v>0.05</x:v>
      </x:c>
      <x:c r="H115" s="16" t="str">
        <x:v>D001</x:v>
      </x:c>
      <x:c r="I115" s="16" t="str">
        <x:v>Approved</x:v>
      </x:c>
      <x:c r="J115" s="18" t="n">
        <x:v>46217</x:v>
      </x:c>
      <x:c r="K115" s="16" t="str">
        <x:v>Paid</x:v>
      </x:c>
    </x:row>
    <x:row r="116">
      <x:c r="A116" s="16" t="str">
        <x:v>SI-260114</x:v>
      </x:c>
      <x:c r="B116" s="18" t="n">
        <x:v>46188</x:v>
      </x:c>
      <x:c r="C116" s="16" t="str">
        <x:v>C001</x:v>
      </x:c>
      <x:c r="D116" s="16" t="str">
        <x:v>P001</x:v>
      </x:c>
      <x:c r="E116" s="16" t="n">
        <x:v>333</x:v>
      </x:c>
      <x:c r="F116" s="16" t="n">
        <x:v>34.23</x:v>
      </x:c>
      <x:c r="G116" s="16" t="n">
        <x:v>0.05</x:v>
      </x:c>
      <x:c r="H116" s="16" t="str">
        <x:v>D001</x:v>
      </x:c>
      <x:c r="I116" s="16" t="str">
        <x:v>Approved</x:v>
      </x:c>
      <x:c r="J116" s="18" t="n">
        <x:v>46218</x:v>
      </x:c>
      <x:c r="K116" s="16" t="str">
        <x:v>Paid</x:v>
      </x:c>
    </x:row>
    <x:row r="117">
      <x:c r="A117" s="16" t="str">
        <x:v>SI-260115</x:v>
      </x:c>
      <x:c r="B117" s="18" t="n">
        <x:v>46189</x:v>
      </x:c>
      <x:c r="C117" s="16" t="str">
        <x:v>C010</x:v>
      </x:c>
      <x:c r="D117" s="16" t="str">
        <x:v>P003</x:v>
      </x:c>
      <x:c r="E117" s="16" t="n">
        <x:v>324</x:v>
      </x:c>
      <x:c r="F117" s="16" t="n">
        <x:v>23.31</x:v>
      </x:c>
      <x:c r="G117" s="16" t="n">
        <x:v>0.05</x:v>
      </x:c>
      <x:c r="H117" s="16" t="str">
        <x:v>D001</x:v>
      </x:c>
      <x:c r="I117" s="16" t="str">
        <x:v>Approved</x:v>
      </x:c>
      <x:c r="J117" s="18" t="n">
        <x:v>46219</x:v>
      </x:c>
      <x:c r="K117" s="16" t="str">
        <x:v>Paid</x:v>
      </x:c>
    </x:row>
    <x:row r="118">
      <x:c r="A118" s="16" t="str">
        <x:v>SI-260116</x:v>
      </x:c>
      <x:c r="B118" s="18" t="n">
        <x:v>46190</x:v>
      </x:c>
      <x:c r="C118" s="16" t="str">
        <x:v>C010</x:v>
      </x:c>
      <x:c r="D118" s="16" t="str">
        <x:v>P004</x:v>
      </x:c>
      <x:c r="E118" s="16" t="n">
        <x:v>556</x:v>
      </x:c>
      <x:c r="F118" s="16" t="n">
        <x:v>42.96</x:v>
      </x:c>
      <x:c r="G118" s="16" t="n">
        <x:v>0.05</x:v>
      </x:c>
      <x:c r="H118" s="16" t="str">
        <x:v>D001</x:v>
      </x:c>
      <x:c r="I118" s="16" t="str">
        <x:v>Approved</x:v>
      </x:c>
      <x:c r="J118" s="18" t="n">
        <x:v>46220</x:v>
      </x:c>
      <x:c r="K118" s="16" t="str">
        <x:v>Part Paid</x:v>
      </x:c>
    </x:row>
    <x:row r="119">
      <x:c r="A119" s="16" t="str">
        <x:v>SI-260117</x:v>
      </x:c>
      <x:c r="B119" s="18" t="n">
        <x:v>46191</x:v>
      </x:c>
      <x:c r="C119" s="16" t="str">
        <x:v>C003</x:v>
      </x:c>
      <x:c r="D119" s="16" t="str">
        <x:v>P002</x:v>
      </x:c>
      <x:c r="E119" s="16" t="n">
        <x:v>876</x:v>
      </x:c>
      <x:c r="F119" s="16" t="n">
        <x:v>56.86</x:v>
      </x:c>
      <x:c r="G119" s="16" t="n">
        <x:v>0.05</x:v>
      </x:c>
      <x:c r="H119" s="16" t="str">
        <x:v>D001</x:v>
      </x:c>
      <x:c r="I119" s="16" t="str">
        <x:v>Approved</x:v>
      </x:c>
      <x:c r="J119" s="18" t="n">
        <x:v>46236</x:v>
      </x:c>
      <x:c r="K119" s="16" t="str">
        <x:v>Part Paid</x:v>
      </x:c>
    </x:row>
    <x:row r="120">
      <x:c r="A120" s="16" t="str">
        <x:v>SI-260118</x:v>
      </x:c>
      <x:c r="B120" s="18" t="n">
        <x:v>46192</x:v>
      </x:c>
      <x:c r="C120" s="16" t="str">
        <x:v>C002</x:v>
      </x:c>
      <x:c r="D120" s="16" t="str">
        <x:v>P001</x:v>
      </x:c>
      <x:c r="E120" s="16" t="n">
        <x:v>399</x:v>
      </x:c>
      <x:c r="F120" s="16" t="n">
        <x:v>35.41</x:v>
      </x:c>
      <x:c r="G120" s="16" t="n">
        <x:v>0.05</x:v>
      </x:c>
      <x:c r="H120" s="16" t="str">
        <x:v>D001</x:v>
      </x:c>
      <x:c r="I120" s="16" t="str">
        <x:v>Approved</x:v>
      </x:c>
      <x:c r="J120" s="18" t="n">
        <x:v>46222</x:v>
      </x:c>
      <x:c r="K120" s="16" t="str">
        <x:v>Open</x:v>
      </x:c>
    </x:row>
    <x:row r="121">
      <x:c r="A121" s="16" t="str">
        <x:v>SI-260119</x:v>
      </x:c>
      <x:c r="B121" s="18" t="n">
        <x:v>46193</x:v>
      </x:c>
      <x:c r="C121" s="16" t="str">
        <x:v>C007</x:v>
      </x:c>
      <x:c r="D121" s="16" t="str">
        <x:v>P004</x:v>
      </x:c>
      <x:c r="E121" s="16" t="n">
        <x:v>157</x:v>
      </x:c>
      <x:c r="F121" s="16" t="n">
        <x:v>42.56</x:v>
      </x:c>
      <x:c r="G121" s="16" t="n">
        <x:v>0.05</x:v>
      </x:c>
      <x:c r="H121" s="16" t="str">
        <x:v>D001</x:v>
      </x:c>
      <x:c r="I121" s="16" t="str">
        <x:v>Approved</x:v>
      </x:c>
      <x:c r="J121" s="18" t="n">
        <x:v>46223</x:v>
      </x:c>
      <x:c r="K121" s="16" t="str">
        <x:v>Paid</x:v>
      </x:c>
    </x:row>
    <x:row r="122">
      <x:c r="A122" s="16" t="str">
        <x:v>SI-260120</x:v>
      </x:c>
      <x:c r="B122" s="18" t="n">
        <x:v>46194</x:v>
      </x:c>
      <x:c r="C122" s="16" t="str">
        <x:v>C002</x:v>
      </x:c>
      <x:c r="D122" s="16" t="str">
        <x:v>P005</x:v>
      </x:c>
      <x:c r="E122" s="16" t="n">
        <x:v>780</x:v>
      </x:c>
      <x:c r="F122" s="16" t="n">
        <x:v>68.95</x:v>
      </x:c>
      <x:c r="G122" s="16" t="n">
        <x:v>0.05</x:v>
      </x:c>
      <x:c r="H122" s="16" t="str">
        <x:v>D001</x:v>
      </x:c>
      <x:c r="I122" s="16" t="str">
        <x:v>Approved</x:v>
      </x:c>
      <x:c r="J122" s="18" t="n">
        <x:v>46224</x:v>
      </x:c>
      <x:c r="K122" s="16" t="str">
        <x:v>Paid</x:v>
      </x:c>
    </x:row>
    <x:row r="123">
      <x:c r="A123" s="16" t="str">
        <x:v>SI-260121</x:v>
      </x:c>
      <x:c r="B123" s="18" t="n">
        <x:v>46205</x:v>
      </x:c>
      <x:c r="C123" s="16" t="str">
        <x:v>C010</x:v>
      </x:c>
      <x:c r="D123" s="16" t="str">
        <x:v>P001</x:v>
      </x:c>
      <x:c r="E123" s="16" t="n">
        <x:v>435</x:v>
      </x:c>
      <x:c r="F123" s="16" t="n">
        <x:v>35.28</x:v>
      </x:c>
      <x:c r="G123" s="16" t="n">
        <x:v>0.05</x:v>
      </x:c>
      <x:c r="H123" s="16" t="str">
        <x:v>D001</x:v>
      </x:c>
      <x:c r="I123" s="16" t="str">
        <x:v>Approved</x:v>
      </x:c>
      <x:c r="J123" s="18" t="n">
        <x:v>46235</x:v>
      </x:c>
      <x:c r="K123" s="16" t="str">
        <x:v>Part Paid</x:v>
      </x:c>
    </x:row>
    <x:row r="124">
      <x:c r="A124" s="16" t="str">
        <x:v>SI-260122</x:v>
      </x:c>
      <x:c r="B124" s="18" t="n">
        <x:v>46206</x:v>
      </x:c>
      <x:c r="C124" s="16" t="str">
        <x:v>C002</x:v>
      </x:c>
      <x:c r="D124" s="16" t="str">
        <x:v>P006</x:v>
      </x:c>
      <x:c r="E124" s="16" t="n">
        <x:v>92</x:v>
      </x:c>
      <x:c r="F124" s="16" t="n">
        <x:v>18.66</x:v>
      </x:c>
      <x:c r="G124" s="16" t="n">
        <x:v>0.05</x:v>
      </x:c>
      <x:c r="H124" s="16" t="str">
        <x:v>D001</x:v>
      </x:c>
      <x:c r="I124" s="16" t="str">
        <x:v>Approved</x:v>
      </x:c>
      <x:c r="J124" s="18" t="n">
        <x:v>46236</x:v>
      </x:c>
      <x:c r="K124" s="16" t="str">
        <x:v>Open</x:v>
      </x:c>
    </x:row>
    <x:row r="125">
      <x:c r="A125" s="16" t="str">
        <x:v>SI-260123</x:v>
      </x:c>
      <x:c r="B125" s="18" t="n">
        <x:v>46207</x:v>
      </x:c>
      <x:c r="C125" s="16" t="str">
        <x:v>C002</x:v>
      </x:c>
      <x:c r="D125" s="16" t="str">
        <x:v>P007</x:v>
      </x:c>
      <x:c r="E125" s="16" t="n">
        <x:v>450</x:v>
      </x:c>
      <x:c r="F125" s="16" t="n">
        <x:v>96.63</x:v>
      </x:c>
      <x:c r="G125" s="16" t="n">
        <x:v>0.05</x:v>
      </x:c>
      <x:c r="H125" s="16" t="str">
        <x:v>D001</x:v>
      </x:c>
      <x:c r="I125" s="16" t="str">
        <x:v>Approved</x:v>
      </x:c>
      <x:c r="J125" s="18" t="n">
        <x:v>46237</x:v>
      </x:c>
      <x:c r="K125" s="16" t="str">
        <x:v>Open</x:v>
      </x:c>
    </x:row>
    <x:row r="126">
      <x:c r="A126" s="16" t="str">
        <x:v>SI-260124</x:v>
      </x:c>
      <x:c r="B126" s="18" t="n">
        <x:v>46208</x:v>
      </x:c>
      <x:c r="C126" s="16" t="str">
        <x:v>C003</x:v>
      </x:c>
      <x:c r="D126" s="16" t="str">
        <x:v>P007</x:v>
      </x:c>
      <x:c r="E126" s="16" t="n">
        <x:v>260</x:v>
      </x:c>
      <x:c r="F126" s="16" t="n">
        <x:v>97.47</x:v>
      </x:c>
      <x:c r="G126" s="16" t="n">
        <x:v>0.05</x:v>
      </x:c>
      <x:c r="H126" s="16" t="str">
        <x:v>D001</x:v>
      </x:c>
      <x:c r="I126" s="16" t="str">
        <x:v>Approved</x:v>
      </x:c>
      <x:c r="J126" s="18" t="n">
        <x:v>46253</x:v>
      </x:c>
      <x:c r="K126" s="16" t="str">
        <x:v>Part Paid</x:v>
      </x:c>
    </x:row>
    <x:row r="127">
      <x:c r="A127" s="16" t="str">
        <x:v>SI-260125</x:v>
      </x:c>
      <x:c r="B127" s="18" t="n">
        <x:v>46209</x:v>
      </x:c>
      <x:c r="C127" s="16" t="str">
        <x:v>C010</x:v>
      </x:c>
      <x:c r="D127" s="16" t="str">
        <x:v>P008</x:v>
      </x:c>
      <x:c r="E127" s="16" t="n">
        <x:v>556</x:v>
      </x:c>
      <x:c r="F127" s="16" t="n">
        <x:v>144.88</x:v>
      </x:c>
      <x:c r="G127" s="16" t="n">
        <x:v>0.05</x:v>
      </x:c>
      <x:c r="H127" s="16" t="str">
        <x:v>D001</x:v>
      </x:c>
      <x:c r="I127" s="16" t="str">
        <x:v>Approved</x:v>
      </x:c>
      <x:c r="J127" s="18" t="n">
        <x:v>46239</x:v>
      </x:c>
      <x:c r="K127" s="16" t="str">
        <x:v>Part Paid</x:v>
      </x:c>
    </x:row>
    <x:row r="128">
      <x:c r="A128" s="16" t="str">
        <x:v>SI-260126</x:v>
      </x:c>
      <x:c r="B128" s="18" t="n">
        <x:v>46210</x:v>
      </x:c>
      <x:c r="C128" s="16" t="str">
        <x:v>C006</x:v>
      </x:c>
      <x:c r="D128" s="16" t="str">
        <x:v>P004</x:v>
      </x:c>
      <x:c r="E128" s="16" t="n">
        <x:v>168</x:v>
      </x:c>
      <x:c r="F128" s="16" t="n">
        <x:v>41.37</x:v>
      </x:c>
      <x:c r="G128" s="16" t="n">
        <x:v>0.05</x:v>
      </x:c>
      <x:c r="H128" s="16" t="str">
        <x:v>D001</x:v>
      </x:c>
      <x:c r="I128" s="16" t="str">
        <x:v>Approved</x:v>
      </x:c>
      <x:c r="J128" s="18" t="n">
        <x:v>46240</x:v>
      </x:c>
      <x:c r="K128" s="16" t="str">
        <x:v>Open</x:v>
      </x:c>
    </x:row>
    <x:row r="129">
      <x:c r="A129" s="16" t="str">
        <x:v>SI-260127</x:v>
      </x:c>
      <x:c r="B129" s="18" t="n">
        <x:v>46211</x:v>
      </x:c>
      <x:c r="C129" s="16" t="str">
        <x:v>C004</x:v>
      </x:c>
      <x:c r="D129" s="16" t="str">
        <x:v>P008</x:v>
      </x:c>
      <x:c r="E129" s="16" t="n">
        <x:v>663</x:v>
      </x:c>
      <x:c r="F129" s="16" t="n">
        <x:v>147.16</x:v>
      </x:c>
      <x:c r="G129" s="16" t="n">
        <x:v>0.05</x:v>
      </x:c>
      <x:c r="H129" s="16" t="str">
        <x:v>D001</x:v>
      </x:c>
      <x:c r="I129" s="16" t="str">
        <x:v>Approved</x:v>
      </x:c>
      <x:c r="J129" s="18" t="n">
        <x:v>46241</x:v>
      </x:c>
      <x:c r="K129" s="16" t="str">
        <x:v>Open</x:v>
      </x:c>
    </x:row>
    <x:row r="130">
      <x:c r="A130" s="16" t="str">
        <x:v>SI-260128</x:v>
      </x:c>
      <x:c r="B130" s="18" t="n">
        <x:v>46212</x:v>
      </x:c>
      <x:c r="C130" s="16" t="str">
        <x:v>C006</x:v>
      </x:c>
      <x:c r="D130" s="16" t="str">
        <x:v>P001</x:v>
      </x:c>
      <x:c r="E130" s="16" t="n">
        <x:v>586</x:v>
      </x:c>
      <x:c r="F130" s="16" t="n">
        <x:v>36.28</x:v>
      </x:c>
      <x:c r="G130" s="16" t="n">
        <x:v>0.05</x:v>
      </x:c>
      <x:c r="H130" s="16" t="str">
        <x:v>D001</x:v>
      </x:c>
      <x:c r="I130" s="16" t="str">
        <x:v>Approved</x:v>
      </x:c>
      <x:c r="J130" s="18" t="n">
        <x:v>46242</x:v>
      </x:c>
      <x:c r="K130" s="16" t="str">
        <x:v>Paid</x:v>
      </x:c>
    </x:row>
    <x:row r="131">
      <x:c r="A131" s="16" t="str">
        <x:v>SI-260129</x:v>
      </x:c>
      <x:c r="B131" s="18" t="n">
        <x:v>46213</x:v>
      </x:c>
      <x:c r="C131" s="16" t="str">
        <x:v>C008</x:v>
      </x:c>
      <x:c r="D131" s="16" t="str">
        <x:v>P004</x:v>
      </x:c>
      <x:c r="E131" s="16" t="n">
        <x:v>443</x:v>
      </x:c>
      <x:c r="F131" s="16" t="n">
        <x:v>43.34</x:v>
      </x:c>
      <x:c r="G131" s="16" t="n">
        <x:v>0.05</x:v>
      </x:c>
      <x:c r="H131" s="16" t="str">
        <x:v>D001</x:v>
      </x:c>
      <x:c r="I131" s="16" t="str">
        <x:v>Approved</x:v>
      </x:c>
      <x:c r="J131" s="18" t="n">
        <x:v>46228</x:v>
      </x:c>
      <x:c r="K131" s="16" t="str">
        <x:v>Part Paid</x:v>
      </x:c>
    </x:row>
    <x:row r="132">
      <x:c r="A132" s="16" t="str">
        <x:v>SI-260130</x:v>
      </x:c>
      <x:c r="B132" s="18" t="n">
        <x:v>46214</x:v>
      </x:c>
      <x:c r="C132" s="16" t="str">
        <x:v>C005</x:v>
      </x:c>
      <x:c r="D132" s="16" t="str">
        <x:v>P005</x:v>
      </x:c>
      <x:c r="E132" s="16" t="n">
        <x:v>649</x:v>
      </x:c>
      <x:c r="F132" s="16" t="n">
        <x:v>65.34</x:v>
      </x:c>
      <x:c r="G132" s="16" t="n">
        <x:v>0.05</x:v>
      </x:c>
      <x:c r="H132" s="16" t="str">
        <x:v>D001</x:v>
      </x:c>
      <x:c r="I132" s="16" t="str">
        <x:v>Approved</x:v>
      </x:c>
      <x:c r="J132" s="18" t="n">
        <x:v>46259</x:v>
      </x:c>
      <x:c r="K132" s="16" t="str">
        <x:v>Paid</x:v>
      </x:c>
    </x:row>
    <x:row r="133">
      <x:c r="A133" s="16" t="str">
        <x:v>SI-260131</x:v>
      </x:c>
      <x:c r="B133" s="18" t="n">
        <x:v>46215</x:v>
      </x:c>
      <x:c r="C133" s="16" t="str">
        <x:v>C002</x:v>
      </x:c>
      <x:c r="D133" s="16" t="str">
        <x:v>P004</x:v>
      </x:c>
      <x:c r="E133" s="16" t="n">
        <x:v>817</x:v>
      </x:c>
      <x:c r="F133" s="16" t="n">
        <x:v>41.86</x:v>
      </x:c>
      <x:c r="G133" s="16" t="n">
        <x:v>0.05</x:v>
      </x:c>
      <x:c r="H133" s="16" t="str">
        <x:v>D001</x:v>
      </x:c>
      <x:c r="I133" s="16" t="str">
        <x:v>Approved</x:v>
      </x:c>
      <x:c r="J133" s="18" t="n">
        <x:v>46245</x:v>
      </x:c>
      <x:c r="K133" s="16" t="str">
        <x:v>Paid</x:v>
      </x:c>
    </x:row>
    <x:row r="134">
      <x:c r="A134" s="16" t="str">
        <x:v>SI-260132</x:v>
      </x:c>
      <x:c r="B134" s="18" t="n">
        <x:v>46216</x:v>
      </x:c>
      <x:c r="C134" s="16" t="str">
        <x:v>C008</x:v>
      </x:c>
      <x:c r="D134" s="16" t="str">
        <x:v>P008</x:v>
      </x:c>
      <x:c r="E134" s="16" t="n">
        <x:v>538</x:v>
      </x:c>
      <x:c r="F134" s="16" t="n">
        <x:v>149.55</x:v>
      </x:c>
      <x:c r="G134" s="16" t="n">
        <x:v>0.05</x:v>
      </x:c>
      <x:c r="H134" s="16" t="str">
        <x:v>D001</x:v>
      </x:c>
      <x:c r="I134" s="16" t="str">
        <x:v>Approved</x:v>
      </x:c>
      <x:c r="J134" s="18" t="n">
        <x:v>46231</x:v>
      </x:c>
      <x:c r="K134" s="16" t="str">
        <x:v>Paid</x:v>
      </x:c>
    </x:row>
    <x:row r="135">
      <x:c r="A135" s="16" t="str">
        <x:v>SI-260133</x:v>
      </x:c>
      <x:c r="B135" s="18" t="n">
        <x:v>46217</x:v>
      </x:c>
      <x:c r="C135" s="16" t="str">
        <x:v>C005</x:v>
      </x:c>
      <x:c r="D135" s="16" t="str">
        <x:v>P004</x:v>
      </x:c>
      <x:c r="E135" s="16" t="n">
        <x:v>494</x:v>
      </x:c>
      <x:c r="F135" s="16" t="n">
        <x:v>42.93</x:v>
      </x:c>
      <x:c r="G135" s="16" t="n">
        <x:v>0.05</x:v>
      </x:c>
      <x:c r="H135" s="16" t="str">
        <x:v>D001</x:v>
      </x:c>
      <x:c r="I135" s="16" t="str">
        <x:v>Approved</x:v>
      </x:c>
      <x:c r="J135" s="18" t="n">
        <x:v>46262</x:v>
      </x:c>
      <x:c r="K135" s="16" t="str">
        <x:v>Part Paid</x:v>
      </x:c>
    </x:row>
    <x:row r="136">
      <x:c r="A136" s="16" t="str">
        <x:v>SI-260134</x:v>
      </x:c>
      <x:c r="B136" s="18" t="n">
        <x:v>46218</x:v>
      </x:c>
      <x:c r="C136" s="16" t="str">
        <x:v>C010</x:v>
      </x:c>
      <x:c r="D136" s="16" t="str">
        <x:v>P006</x:v>
      </x:c>
      <x:c r="E136" s="16" t="n">
        <x:v>564</x:v>
      </x:c>
      <x:c r="F136" s="16" t="n">
        <x:v>18.18</x:v>
      </x:c>
      <x:c r="G136" s="16" t="n">
        <x:v>0.05</x:v>
      </x:c>
      <x:c r="H136" s="16" t="str">
        <x:v>D001</x:v>
      </x:c>
      <x:c r="I136" s="16" t="str">
        <x:v>Approved</x:v>
      </x:c>
      <x:c r="J136" s="18" t="n">
        <x:v>46248</x:v>
      </x:c>
      <x:c r="K136" s="16" t="str">
        <x:v>Part Paid</x:v>
      </x:c>
    </x:row>
    <x:row r="137">
      <x:c r="A137" s="16" t="str">
        <x:v>SI-260135</x:v>
      </x:c>
      <x:c r="B137" s="18" t="n">
        <x:v>46219</x:v>
      </x:c>
      <x:c r="C137" s="16" t="str">
        <x:v>C007</x:v>
      </x:c>
      <x:c r="D137" s="16" t="str">
        <x:v>P006</x:v>
      </x:c>
      <x:c r="E137" s="16" t="n">
        <x:v>440</x:v>
      </x:c>
      <x:c r="F137" s="16" t="n">
        <x:v>18.42</x:v>
      </x:c>
      <x:c r="G137" s="16" t="n">
        <x:v>0.05</x:v>
      </x:c>
      <x:c r="H137" s="16" t="str">
        <x:v>D001</x:v>
      </x:c>
      <x:c r="I137" s="16" t="str">
        <x:v>Approved</x:v>
      </x:c>
      <x:c r="J137" s="18" t="n">
        <x:v>46249</x:v>
      </x:c>
      <x:c r="K137" s="16" t="str">
        <x:v>Part Paid</x:v>
      </x:c>
    </x:row>
    <x:row r="138">
      <x:c r="A138" s="16" t="str">
        <x:v>SI-260136</x:v>
      </x:c>
      <x:c r="B138" s="18" t="n">
        <x:v>46220</x:v>
      </x:c>
      <x:c r="C138" s="16" t="str">
        <x:v>C005</x:v>
      </x:c>
      <x:c r="D138" s="16" t="str">
        <x:v>P005</x:v>
      </x:c>
      <x:c r="E138" s="16" t="n">
        <x:v>316</x:v>
      </x:c>
      <x:c r="F138" s="16" t="n">
        <x:v>66.02</x:v>
      </x:c>
      <x:c r="G138" s="16" t="n">
        <x:v>0.05</x:v>
      </x:c>
      <x:c r="H138" s="16" t="str">
        <x:v>D001</x:v>
      </x:c>
      <x:c r="I138" s="16" t="str">
        <x:v>Approved</x:v>
      </x:c>
      <x:c r="J138" s="18" t="n">
        <x:v>46265</x:v>
      </x:c>
      <x:c r="K138" s="16" t="str">
        <x:v>Paid</x:v>
      </x:c>
    </x:row>
    <x:row r="139">
      <x:c r="A139" s="16" t="str">
        <x:v>SI-260137</x:v>
      </x:c>
      <x:c r="B139" s="18" t="n">
        <x:v>46221</x:v>
      </x:c>
      <x:c r="C139" s="16" t="str">
        <x:v>C006</x:v>
      </x:c>
      <x:c r="D139" s="16" t="str">
        <x:v>P002</x:v>
      </x:c>
      <x:c r="E139" s="16" t="n">
        <x:v>840</x:v>
      </x:c>
      <x:c r="F139" s="16" t="n">
        <x:v>55.45</x:v>
      </x:c>
      <x:c r="G139" s="16" t="n">
        <x:v>0.05</x:v>
      </x:c>
      <x:c r="H139" s="16" t="str">
        <x:v>D001</x:v>
      </x:c>
      <x:c r="I139" s="16" t="str">
        <x:v>Approved</x:v>
      </x:c>
      <x:c r="J139" s="18" t="n">
        <x:v>46251</x:v>
      </x:c>
      <x:c r="K139" s="16" t="str">
        <x:v>Paid</x:v>
      </x:c>
    </x:row>
    <x:row r="140">
      <x:c r="A140" s="16" t="str">
        <x:v>SI-260138</x:v>
      </x:c>
      <x:c r="B140" s="18" t="n">
        <x:v>46222</x:v>
      </x:c>
      <x:c r="C140" s="16" t="str">
        <x:v>C004</x:v>
      </x:c>
      <x:c r="D140" s="16" t="str">
        <x:v>P004</x:v>
      </x:c>
      <x:c r="E140" s="16" t="n">
        <x:v>836</x:v>
      </x:c>
      <x:c r="F140" s="16" t="n">
        <x:v>42.15</x:v>
      </x:c>
      <x:c r="G140" s="16" t="n">
        <x:v>0.05</x:v>
      </x:c>
      <x:c r="H140" s="16" t="str">
        <x:v>D001</x:v>
      </x:c>
      <x:c r="I140" s="16" t="str">
        <x:v>Approved</x:v>
      </x:c>
      <x:c r="J140" s="18" t="n">
        <x:v>46252</x:v>
      </x:c>
      <x:c r="K140" s="16" t="str">
        <x:v>Part Paid</x:v>
      </x:c>
    </x:row>
    <x:row r="141">
      <x:c r="A141" s="16" t="str">
        <x:v>SI-260139</x:v>
      </x:c>
      <x:c r="B141" s="18" t="n">
        <x:v>46223</x:v>
      </x:c>
      <x:c r="C141" s="16" t="str">
        <x:v>C002</x:v>
      </x:c>
      <x:c r="D141" s="16" t="str">
        <x:v>P004</x:v>
      </x:c>
      <x:c r="E141" s="16" t="n">
        <x:v>383</x:v>
      </x:c>
      <x:c r="F141" s="16" t="n">
        <x:v>41.18</x:v>
      </x:c>
      <x:c r="G141" s="16" t="n">
        <x:v>0.05</x:v>
      </x:c>
      <x:c r="H141" s="16" t="str">
        <x:v>D001</x:v>
      </x:c>
      <x:c r="I141" s="16" t="str">
        <x:v>Approved</x:v>
      </x:c>
      <x:c r="J141" s="18" t="n">
        <x:v>46253</x:v>
      </x:c>
      <x:c r="K141" s="16" t="str">
        <x:v>Paid</x:v>
      </x:c>
    </x:row>
    <x:row r="142">
      <x:c r="A142" s="16" t="str">
        <x:v>SI-260140</x:v>
      </x:c>
      <x:c r="B142" s="18" t="n">
        <x:v>46224</x:v>
      </x:c>
      <x:c r="C142" s="16" t="str">
        <x:v>C005</x:v>
      </x:c>
      <x:c r="D142" s="16" t="str">
        <x:v>P001</x:v>
      </x:c>
      <x:c r="E142" s="16" t="n">
        <x:v>805</x:v>
      </x:c>
      <x:c r="F142" s="16" t="n">
        <x:v>35.28</x:v>
      </x:c>
      <x:c r="G142" s="16" t="n">
        <x:v>0.05</x:v>
      </x:c>
      <x:c r="H142" s="16" t="str">
        <x:v>D001</x:v>
      </x:c>
      <x:c r="I142" s="16" t="str">
        <x:v>Approved</x:v>
      </x:c>
      <x:c r="J142" s="18" t="n">
        <x:v>46269</x:v>
      </x:c>
      <x:c r="K142" s="16" t="str">
        <x:v>Part Paid</x:v>
      </x:c>
    </x:row>
    <x:row r="143">
      <x:c r="A143" s="16" t="str">
        <x:v>SI-260141</x:v>
      </x:c>
      <x:c r="B143" s="18" t="n">
        <x:v>46236</x:v>
      </x:c>
      <x:c r="C143" s="16" t="str">
        <x:v>C001</x:v>
      </x:c>
      <x:c r="D143" s="16" t="str">
        <x:v>P001</x:v>
      </x:c>
      <x:c r="E143" s="16" t="n">
        <x:v>646</x:v>
      </x:c>
      <x:c r="F143" s="16" t="n">
        <x:v>34.52</x:v>
      </x:c>
      <x:c r="G143" s="16" t="n">
        <x:v>0.05</x:v>
      </x:c>
      <x:c r="H143" s="16" t="str">
        <x:v>D001</x:v>
      </x:c>
      <x:c r="I143" s="16" t="str">
        <x:v>Approved</x:v>
      </x:c>
      <x:c r="J143" s="18" t="n">
        <x:v>46266</x:v>
      </x:c>
      <x:c r="K143" s="16" t="str">
        <x:v>Paid</x:v>
      </x:c>
    </x:row>
    <x:row r="144">
      <x:c r="A144" s="16" t="str">
        <x:v>SI-260142</x:v>
      </x:c>
      <x:c r="B144" s="18" t="n">
        <x:v>46237</x:v>
      </x:c>
      <x:c r="C144" s="16" t="str">
        <x:v>C008</x:v>
      </x:c>
      <x:c r="D144" s="16" t="str">
        <x:v>P002</x:v>
      </x:c>
      <x:c r="E144" s="16" t="n">
        <x:v>92</x:v>
      </x:c>
      <x:c r="F144" s="16" t="n">
        <x:v>55.64</x:v>
      </x:c>
      <x:c r="G144" s="16" t="n">
        <x:v>0.05</x:v>
      </x:c>
      <x:c r="H144" s="16" t="str">
        <x:v>D001</x:v>
      </x:c>
      <x:c r="I144" s="16" t="str">
        <x:v>Approved</x:v>
      </x:c>
      <x:c r="J144" s="18" t="n">
        <x:v>46252</x:v>
      </x:c>
      <x:c r="K144" s="16" t="str">
        <x:v>Open</x:v>
      </x:c>
    </x:row>
    <x:row r="145">
      <x:c r="A145" s="16" t="str">
        <x:v>SI-260143</x:v>
      </x:c>
      <x:c r="B145" s="18" t="n">
        <x:v>46238</x:v>
      </x:c>
      <x:c r="C145" s="16" t="str">
        <x:v>C008</x:v>
      </x:c>
      <x:c r="D145" s="16" t="str">
        <x:v>P008</x:v>
      </x:c>
      <x:c r="E145" s="16" t="n">
        <x:v>428</x:v>
      </x:c>
      <x:c r="F145" s="16" t="n">
        <x:v>141.61</x:v>
      </x:c>
      <x:c r="G145" s="16" t="n">
        <x:v>0.05</x:v>
      </x:c>
      <x:c r="H145" s="16" t="str">
        <x:v>D001</x:v>
      </x:c>
      <x:c r="I145" s="16" t="str">
        <x:v>Approved</x:v>
      </x:c>
      <x:c r="J145" s="18" t="n">
        <x:v>46253</x:v>
      </x:c>
      <x:c r="K145" s="16" t="str">
        <x:v>Paid</x:v>
      </x:c>
    </x:row>
    <x:row r="146">
      <x:c r="A146" s="16" t="str">
        <x:v>SI-260144</x:v>
      </x:c>
      <x:c r="B146" s="18" t="n">
        <x:v>46239</x:v>
      </x:c>
      <x:c r="C146" s="16" t="str">
        <x:v>C005</x:v>
      </x:c>
      <x:c r="D146" s="16" t="str">
        <x:v>P008</x:v>
      </x:c>
      <x:c r="E146" s="16" t="n">
        <x:v>196</x:v>
      </x:c>
      <x:c r="F146" s="16" t="n">
        <x:v>149.93</x:v>
      </x:c>
      <x:c r="G146" s="16" t="n">
        <x:v>0.05</x:v>
      </x:c>
      <x:c r="H146" s="16" t="str">
        <x:v>D001</x:v>
      </x:c>
      <x:c r="I146" s="16" t="str">
        <x:v>Approved</x:v>
      </x:c>
      <x:c r="J146" s="18" t="n">
        <x:v>46284</x:v>
      </x:c>
      <x:c r="K146" s="16" t="str">
        <x:v>Open</x:v>
      </x:c>
    </x:row>
    <x:row r="147">
      <x:c r="A147" s="16" t="str">
        <x:v>SI-260145</x:v>
      </x:c>
      <x:c r="B147" s="18" t="n">
        <x:v>46240</x:v>
      </x:c>
      <x:c r="C147" s="16" t="str">
        <x:v>C008</x:v>
      </x:c>
      <x:c r="D147" s="16" t="str">
        <x:v>P002</x:v>
      </x:c>
      <x:c r="E147" s="16" t="n">
        <x:v>670</x:v>
      </x:c>
      <x:c r="F147" s="16" t="n">
        <x:v>55.92</x:v>
      </x:c>
      <x:c r="G147" s="16" t="n">
        <x:v>0.05</x:v>
      </x:c>
      <x:c r="H147" s="16" t="str">
        <x:v>D001</x:v>
      </x:c>
      <x:c r="I147" s="16" t="str">
        <x:v>Approved</x:v>
      </x:c>
      <x:c r="J147" s="18" t="n">
        <x:v>46255</x:v>
      </x:c>
      <x:c r="K147" s="16" t="str">
        <x:v>Paid</x:v>
      </x:c>
    </x:row>
    <x:row r="148">
      <x:c r="A148" s="16" t="str">
        <x:v>SI-260146</x:v>
      </x:c>
      <x:c r="B148" s="18" t="n">
        <x:v>46241</x:v>
      </x:c>
      <x:c r="C148" s="16" t="str">
        <x:v>C003</x:v>
      </x:c>
      <x:c r="D148" s="16" t="str">
        <x:v>P003</x:v>
      </x:c>
      <x:c r="E148" s="16" t="n">
        <x:v>656</x:v>
      </x:c>
      <x:c r="F148" s="16" t="n">
        <x:v>25.09</x:v>
      </x:c>
      <x:c r="G148" s="16" t="n">
        <x:v>0.05</x:v>
      </x:c>
      <x:c r="H148" s="16" t="str">
        <x:v>D001</x:v>
      </x:c>
      <x:c r="I148" s="16" t="str">
        <x:v>Approved</x:v>
      </x:c>
      <x:c r="J148" s="18" t="n">
        <x:v>46286</x:v>
      </x:c>
      <x:c r="K148" s="16" t="str">
        <x:v>Paid</x:v>
      </x:c>
    </x:row>
    <x:row r="149">
      <x:c r="A149" s="16" t="str">
        <x:v>SI-260147</x:v>
      </x:c>
      <x:c r="B149" s="18" t="n">
        <x:v>46242</x:v>
      </x:c>
      <x:c r="C149" s="16" t="str">
        <x:v>C004</x:v>
      </x:c>
      <x:c r="D149" s="16" t="str">
        <x:v>P002</x:v>
      </x:c>
      <x:c r="E149" s="16" t="n">
        <x:v>651</x:v>
      </x:c>
      <x:c r="F149" s="16" t="n">
        <x:v>56.58</x:v>
      </x:c>
      <x:c r="G149" s="16" t="n">
        <x:v>0.05</x:v>
      </x:c>
      <x:c r="H149" s="16" t="str">
        <x:v>D001</x:v>
      </x:c>
      <x:c r="I149" s="16" t="str">
        <x:v>Approved</x:v>
      </x:c>
      <x:c r="J149" s="18" t="n">
        <x:v>46272</x:v>
      </x:c>
      <x:c r="K149" s="16" t="str">
        <x:v>Paid</x:v>
      </x:c>
    </x:row>
    <x:row r="150">
      <x:c r="A150" s="16" t="str">
        <x:v>SI-260148</x:v>
      </x:c>
      <x:c r="B150" s="18" t="n">
        <x:v>46243</x:v>
      </x:c>
      <x:c r="C150" s="16" t="str">
        <x:v>C009</x:v>
      </x:c>
      <x:c r="D150" s="16" t="str">
        <x:v>P007</x:v>
      </x:c>
      <x:c r="E150" s="16" t="n">
        <x:v>541</x:v>
      </x:c>
      <x:c r="F150" s="16" t="n">
        <x:v>98.97</x:v>
      </x:c>
      <x:c r="G150" s="16" t="n">
        <x:v>0.05</x:v>
      </x:c>
      <x:c r="H150" s="16" t="str">
        <x:v>D001</x:v>
      </x:c>
      <x:c r="I150" s="16" t="str">
        <x:v>Approved</x:v>
      </x:c>
      <x:c r="J150" s="18" t="n">
        <x:v>46288</x:v>
      </x:c>
      <x:c r="K150" s="16" t="str">
        <x:v>Part Paid</x:v>
      </x:c>
    </x:row>
    <x:row r="151">
      <x:c r="A151" s="16" t="str">
        <x:v>SI-260149</x:v>
      </x:c>
      <x:c r="B151" s="18" t="n">
        <x:v>46244</x:v>
      </x:c>
      <x:c r="C151" s="16" t="str">
        <x:v>C010</x:v>
      </x:c>
      <x:c r="D151" s="16" t="str">
        <x:v>P007</x:v>
      </x:c>
      <x:c r="E151" s="16" t="n">
        <x:v>392</x:v>
      </x:c>
      <x:c r="F151" s="16" t="n">
        <x:v>96.06</x:v>
      </x:c>
      <x:c r="G151" s="16" t="n">
        <x:v>0.05</x:v>
      </x:c>
      <x:c r="H151" s="16" t="str">
        <x:v>D001</x:v>
      </x:c>
      <x:c r="I151" s="16" t="str">
        <x:v>Approved</x:v>
      </x:c>
      <x:c r="J151" s="18" t="n">
        <x:v>46274</x:v>
      </x:c>
      <x:c r="K151" s="16" t="str">
        <x:v>Paid</x:v>
      </x:c>
    </x:row>
    <x:row r="152">
      <x:c r="A152" s="16" t="str">
        <x:v>SI-260150</x:v>
      </x:c>
      <x:c r="B152" s="18" t="n">
        <x:v>46245</x:v>
      </x:c>
      <x:c r="C152" s="16" t="str">
        <x:v>C010</x:v>
      </x:c>
      <x:c r="D152" s="16" t="str">
        <x:v>P002</x:v>
      </x:c>
      <x:c r="E152" s="16" t="n">
        <x:v>861</x:v>
      </x:c>
      <x:c r="F152" s="16" t="n">
        <x:v>53.83</x:v>
      </x:c>
      <x:c r="G152" s="16" t="n">
        <x:v>0.05</x:v>
      </x:c>
      <x:c r="H152" s="16" t="str">
        <x:v>D001</x:v>
      </x:c>
      <x:c r="I152" s="16" t="str">
        <x:v>Approved</x:v>
      </x:c>
      <x:c r="J152" s="18" t="n">
        <x:v>46275</x:v>
      </x:c>
      <x:c r="K152" s="16" t="str">
        <x:v>Paid</x:v>
      </x:c>
    </x:row>
    <x:row r="153">
      <x:c r="A153" s="16" t="str">
        <x:v>SI-260151</x:v>
      </x:c>
      <x:c r="B153" s="18" t="n">
        <x:v>46246</x:v>
      </x:c>
      <x:c r="C153" s="16" t="str">
        <x:v>C005</x:v>
      </x:c>
      <x:c r="D153" s="16" t="str">
        <x:v>P002</x:v>
      </x:c>
      <x:c r="E153" s="16" t="n">
        <x:v>240</x:v>
      </x:c>
      <x:c r="F153" s="16" t="n">
        <x:v>53.99</x:v>
      </x:c>
      <x:c r="G153" s="16" t="n">
        <x:v>0.05</x:v>
      </x:c>
      <x:c r="H153" s="16" t="str">
        <x:v>D001</x:v>
      </x:c>
      <x:c r="I153" s="16" t="str">
        <x:v>Approved</x:v>
      </x:c>
      <x:c r="J153" s="18" t="n">
        <x:v>46291</x:v>
      </x:c>
      <x:c r="K153" s="16" t="str">
        <x:v>Paid</x:v>
      </x:c>
    </x:row>
    <x:row r="154">
      <x:c r="A154" s="16" t="str">
        <x:v>SI-260152</x:v>
      </x:c>
      <x:c r="B154" s="18" t="n">
        <x:v>46247</x:v>
      </x:c>
      <x:c r="C154" s="16" t="str">
        <x:v>C003</x:v>
      </x:c>
      <x:c r="D154" s="16" t="str">
        <x:v>P001</x:v>
      </x:c>
      <x:c r="E154" s="16" t="n">
        <x:v>498</x:v>
      </x:c>
      <x:c r="F154" s="16" t="n">
        <x:v>35.02</x:v>
      </x:c>
      <x:c r="G154" s="16" t="n">
        <x:v>0.05</x:v>
      </x:c>
      <x:c r="H154" s="16" t="str">
        <x:v>D001</x:v>
      </x:c>
      <x:c r="I154" s="16" t="str">
        <x:v>Approved</x:v>
      </x:c>
      <x:c r="J154" s="18" t="n">
        <x:v>46292</x:v>
      </x:c>
      <x:c r="K154" s="16" t="str">
        <x:v>Open</x:v>
      </x:c>
    </x:row>
    <x:row r="155">
      <x:c r="A155" s="16" t="str">
        <x:v>SI-260153</x:v>
      </x:c>
      <x:c r="B155" s="18" t="n">
        <x:v>46248</x:v>
      </x:c>
      <x:c r="C155" s="16" t="str">
        <x:v>C005</x:v>
      </x:c>
      <x:c r="D155" s="16" t="str">
        <x:v>P001</x:v>
      </x:c>
      <x:c r="E155" s="16" t="n">
        <x:v>317</x:v>
      </x:c>
      <x:c r="F155" s="16" t="n">
        <x:v>34.51</x:v>
      </x:c>
      <x:c r="G155" s="16" t="n">
        <x:v>0.05</x:v>
      </x:c>
      <x:c r="H155" s="16" t="str">
        <x:v>D001</x:v>
      </x:c>
      <x:c r="I155" s="16" t="str">
        <x:v>Approved</x:v>
      </x:c>
      <x:c r="J155" s="18" t="n">
        <x:v>46293</x:v>
      </x:c>
      <x:c r="K155" s="16" t="str">
        <x:v>Part Paid</x:v>
      </x:c>
    </x:row>
    <x:row r="156">
      <x:c r="A156" s="16" t="str">
        <x:v>SI-260154</x:v>
      </x:c>
      <x:c r="B156" s="18" t="n">
        <x:v>46249</x:v>
      </x:c>
      <x:c r="C156" s="16" t="str">
        <x:v>C008</x:v>
      </x:c>
      <x:c r="D156" s="16" t="str">
        <x:v>P002</x:v>
      </x:c>
      <x:c r="E156" s="16" t="n">
        <x:v>783</x:v>
      </x:c>
      <x:c r="F156" s="16" t="n">
        <x:v>53.96</x:v>
      </x:c>
      <x:c r="G156" s="16" t="n">
        <x:v>0.05</x:v>
      </x:c>
      <x:c r="H156" s="16" t="str">
        <x:v>D001</x:v>
      </x:c>
      <x:c r="I156" s="16" t="str">
        <x:v>Approved</x:v>
      </x:c>
      <x:c r="J156" s="18" t="n">
        <x:v>46264</x:v>
      </x:c>
      <x:c r="K156" s="16" t="str">
        <x:v>Part Paid</x:v>
      </x:c>
    </x:row>
    <x:row r="157">
      <x:c r="A157" s="16" t="str">
        <x:v>SI-260155</x:v>
      </x:c>
      <x:c r="B157" s="18" t="n">
        <x:v>46250</x:v>
      </x:c>
      <x:c r="C157" s="16" t="str">
        <x:v>C010</x:v>
      </x:c>
      <x:c r="D157" s="16" t="str">
        <x:v>P004</x:v>
      </x:c>
      <x:c r="E157" s="16" t="n">
        <x:v>515</x:v>
      </x:c>
      <x:c r="F157" s="16" t="n">
        <x:v>40.75</x:v>
      </x:c>
      <x:c r="G157" s="16" t="n">
        <x:v>0.05</x:v>
      </x:c>
      <x:c r="H157" s="16" t="str">
        <x:v>D001</x:v>
      </x:c>
      <x:c r="I157" s="16" t="str">
        <x:v>Approved</x:v>
      </x:c>
      <x:c r="J157" s="18" t="n">
        <x:v>46280</x:v>
      </x:c>
      <x:c r="K157" s="16" t="str">
        <x:v>Paid</x:v>
      </x:c>
    </x:row>
    <x:row r="158">
      <x:c r="A158" s="16" t="str">
        <x:v>SI-260156</x:v>
      </x:c>
      <x:c r="B158" s="18" t="n">
        <x:v>46251</x:v>
      </x:c>
      <x:c r="C158" s="16" t="str">
        <x:v>C003</x:v>
      </x:c>
      <x:c r="D158" s="16" t="str">
        <x:v>P005</x:v>
      </x:c>
      <x:c r="E158" s="16" t="n">
        <x:v>225</x:v>
      </x:c>
      <x:c r="F158" s="16" t="n">
        <x:v>65.72</x:v>
      </x:c>
      <x:c r="G158" s="16" t="n">
        <x:v>0.05</x:v>
      </x:c>
      <x:c r="H158" s="16" t="str">
        <x:v>D001</x:v>
      </x:c>
      <x:c r="I158" s="16" t="str">
        <x:v>Approved</x:v>
      </x:c>
      <x:c r="J158" s="18" t="n">
        <x:v>46296</x:v>
      </x:c>
      <x:c r="K158" s="16" t="str">
        <x:v>Paid</x:v>
      </x:c>
    </x:row>
    <x:row r="159">
      <x:c r="A159" s="16" t="str">
        <x:v>SI-260157</x:v>
      </x:c>
      <x:c r="B159" s="18" t="n">
        <x:v>46252</x:v>
      </x:c>
      <x:c r="C159" s="16" t="str">
        <x:v>C005</x:v>
      </x:c>
      <x:c r="D159" s="16" t="str">
        <x:v>P005</x:v>
      </x:c>
      <x:c r="E159" s="16" t="n">
        <x:v>529</x:v>
      </x:c>
      <x:c r="F159" s="16" t="n">
        <x:v>66.04</x:v>
      </x:c>
      <x:c r="G159" s="16" t="n">
        <x:v>0.05</x:v>
      </x:c>
      <x:c r="H159" s="16" t="str">
        <x:v>D001</x:v>
      </x:c>
      <x:c r="I159" s="16" t="str">
        <x:v>Approved</x:v>
      </x:c>
      <x:c r="J159" s="18" t="n">
        <x:v>46297</x:v>
      </x:c>
      <x:c r="K159" s="16" t="str">
        <x:v>Part Paid</x:v>
      </x:c>
    </x:row>
    <x:row r="160">
      <x:c r="A160" s="16" t="str">
        <x:v>SI-260158</x:v>
      </x:c>
      <x:c r="B160" s="18" t="n">
        <x:v>46253</x:v>
      </x:c>
      <x:c r="C160" s="16" t="str">
        <x:v>C007</x:v>
      </x:c>
      <x:c r="D160" s="16" t="str">
        <x:v>P005</x:v>
      </x:c>
      <x:c r="E160" s="16" t="n">
        <x:v>592</x:v>
      </x:c>
      <x:c r="F160" s="16" t="n">
        <x:v>68.58</x:v>
      </x:c>
      <x:c r="G160" s="16" t="n">
        <x:v>0.05</x:v>
      </x:c>
      <x:c r="H160" s="16" t="str">
        <x:v>D001</x:v>
      </x:c>
      <x:c r="I160" s="16" t="str">
        <x:v>Approved</x:v>
      </x:c>
      <x:c r="J160" s="18" t="n">
        <x:v>46283</x:v>
      </x:c>
      <x:c r="K160" s="16" t="str">
        <x:v>Open</x:v>
      </x:c>
    </x:row>
    <x:row r="161">
      <x:c r="A161" s="16" t="str">
        <x:v>SI-260159</x:v>
      </x:c>
      <x:c r="B161" s="18" t="n">
        <x:v>46254</x:v>
      </x:c>
      <x:c r="C161" s="16" t="str">
        <x:v>C002</x:v>
      </x:c>
      <x:c r="D161" s="16" t="str">
        <x:v>P001</x:v>
      </x:c>
      <x:c r="E161" s="16" t="n">
        <x:v>522</x:v>
      </x:c>
      <x:c r="F161" s="16" t="n">
        <x:v>35.91</x:v>
      </x:c>
      <x:c r="G161" s="16" t="n">
        <x:v>0.05</x:v>
      </x:c>
      <x:c r="H161" s="16" t="str">
        <x:v>D001</x:v>
      </x:c>
      <x:c r="I161" s="16" t="str">
        <x:v>Approved</x:v>
      </x:c>
      <x:c r="J161" s="18" t="n">
        <x:v>46284</x:v>
      </x:c>
      <x:c r="K161" s="16" t="str">
        <x:v>Part Paid</x:v>
      </x:c>
    </x:row>
    <x:row r="162">
      <x:c r="A162" s="16" t="str">
        <x:v>SI-260160</x:v>
      </x:c>
      <x:c r="B162" s="18" t="n">
        <x:v>46255</x:v>
      </x:c>
      <x:c r="C162" s="16" t="str">
        <x:v>C001</x:v>
      </x:c>
      <x:c r="D162" s="16" t="str">
        <x:v>P002</x:v>
      </x:c>
      <x:c r="E162" s="16" t="n">
        <x:v>314</x:v>
      </x:c>
      <x:c r="F162" s="16" t="n">
        <x:v>57.56</x:v>
      </x:c>
      <x:c r="G162" s="16" t="n">
        <x:v>0.05</x:v>
      </x:c>
      <x:c r="H162" s="16" t="str">
        <x:v>D001</x:v>
      </x:c>
      <x:c r="I162" s="16" t="str">
        <x:v>Approved</x:v>
      </x:c>
      <x:c r="J162" s="18" t="n">
        <x:v>46285</x:v>
      </x:c>
      <x:c r="K162" s="16" t="str">
        <x:v>Paid</x:v>
      </x:c>
    </x:row>
    <x:row r="163">
      <x:c r="A163" s="16" t="str">
        <x:v>SI-260161</x:v>
      </x:c>
      <x:c r="B163" s="18" t="n">
        <x:v>46267</x:v>
      </x:c>
      <x:c r="C163" s="16" t="str">
        <x:v>C005</x:v>
      </x:c>
      <x:c r="D163" s="16" t="str">
        <x:v>P001</x:v>
      </x:c>
      <x:c r="E163" s="16" t="n">
        <x:v>861</x:v>
      </x:c>
      <x:c r="F163" s="16" t="n">
        <x:v>35.98</x:v>
      </x:c>
      <x:c r="G163" s="16" t="n">
        <x:v>0.05</x:v>
      </x:c>
      <x:c r="H163" s="16" t="str">
        <x:v>D001</x:v>
      </x:c>
      <x:c r="I163" s="16" t="str">
        <x:v>Approved</x:v>
      </x:c>
      <x:c r="J163" s="18" t="n">
        <x:v>46312</x:v>
      </x:c>
      <x:c r="K163" s="16" t="str">
        <x:v>Open</x:v>
      </x:c>
    </x:row>
    <x:row r="164">
      <x:c r="A164" s="16" t="str">
        <x:v>SI-260162</x:v>
      </x:c>
      <x:c r="B164" s="18" t="n">
        <x:v>46268</x:v>
      </x:c>
      <x:c r="C164" s="16" t="str">
        <x:v>C009</x:v>
      </x:c>
      <x:c r="D164" s="16" t="str">
        <x:v>P008</x:v>
      </x:c>
      <x:c r="E164" s="16" t="n">
        <x:v>364</x:v>
      </x:c>
      <x:c r="F164" s="16" t="n">
        <x:v>141.57</x:v>
      </x:c>
      <x:c r="G164" s="16" t="n">
        <x:v>0.05</x:v>
      </x:c>
      <x:c r="H164" s="16" t="str">
        <x:v>D001</x:v>
      </x:c>
      <x:c r="I164" s="16" t="str">
        <x:v>Approved</x:v>
      </x:c>
      <x:c r="J164" s="18" t="n">
        <x:v>46313</x:v>
      </x:c>
      <x:c r="K164" s="16" t="str">
        <x:v>Open</x:v>
      </x:c>
    </x:row>
    <x:row r="165">
      <x:c r="A165" s="16" t="str">
        <x:v>SI-260163</x:v>
      </x:c>
      <x:c r="B165" s="18" t="n">
        <x:v>46269</x:v>
      </x:c>
      <x:c r="C165" s="16" t="str">
        <x:v>C008</x:v>
      </x:c>
      <x:c r="D165" s="16" t="str">
        <x:v>P002</x:v>
      </x:c>
      <x:c r="E165" s="16" t="n">
        <x:v>561</x:v>
      </x:c>
      <x:c r="F165" s="16" t="n">
        <x:v>54.52</x:v>
      </x:c>
      <x:c r="G165" s="16" t="n">
        <x:v>0.05</x:v>
      </x:c>
      <x:c r="H165" s="16" t="str">
        <x:v>D001</x:v>
      </x:c>
      <x:c r="I165" s="16" t="str">
        <x:v>Approved</x:v>
      </x:c>
      <x:c r="J165" s="18" t="n">
        <x:v>46284</x:v>
      </x:c>
      <x:c r="K165" s="16" t="str">
        <x:v>Part Paid</x:v>
      </x:c>
    </x:row>
    <x:row r="166">
      <x:c r="A166" s="16" t="str">
        <x:v>SI-260164</x:v>
      </x:c>
      <x:c r="B166" s="18" t="n">
        <x:v>46270</x:v>
      </x:c>
      <x:c r="C166" s="16" t="str">
        <x:v>C006</x:v>
      </x:c>
      <x:c r="D166" s="16" t="str">
        <x:v>P002</x:v>
      </x:c>
      <x:c r="E166" s="16" t="n">
        <x:v>244</x:v>
      </x:c>
      <x:c r="F166" s="16" t="n">
        <x:v>54.43</x:v>
      </x:c>
      <x:c r="G166" s="16" t="n">
        <x:v>0.05</x:v>
      </x:c>
      <x:c r="H166" s="16" t="str">
        <x:v>D001</x:v>
      </x:c>
      <x:c r="I166" s="16" t="str">
        <x:v>Approved</x:v>
      </x:c>
      <x:c r="J166" s="18" t="n">
        <x:v>46300</x:v>
      </x:c>
      <x:c r="K166" s="16" t="str">
        <x:v>Open</x:v>
      </x:c>
    </x:row>
    <x:row r="167">
      <x:c r="A167" s="16" t="str">
        <x:v>SI-260165</x:v>
      </x:c>
      <x:c r="B167" s="18" t="n">
        <x:v>46271</x:v>
      </x:c>
      <x:c r="C167" s="16" t="str">
        <x:v>C005</x:v>
      </x:c>
      <x:c r="D167" s="16" t="str">
        <x:v>P007</x:v>
      </x:c>
      <x:c r="E167" s="16" t="n">
        <x:v>858</x:v>
      </x:c>
      <x:c r="F167" s="16" t="n">
        <x:v>95.9</x:v>
      </x:c>
      <x:c r="G167" s="16" t="n">
        <x:v>0.05</x:v>
      </x:c>
      <x:c r="H167" s="16" t="str">
        <x:v>D001</x:v>
      </x:c>
      <x:c r="I167" s="16" t="str">
        <x:v>Approved</x:v>
      </x:c>
      <x:c r="J167" s="18" t="n">
        <x:v>46316</x:v>
      </x:c>
      <x:c r="K167" s="16" t="str">
        <x:v>Open</x:v>
      </x:c>
    </x:row>
    <x:row r="168">
      <x:c r="A168" s="16" t="str">
        <x:v>SI-260166</x:v>
      </x:c>
      <x:c r="B168" s="18" t="n">
        <x:v>46272</x:v>
      </x:c>
      <x:c r="C168" s="16" t="str">
        <x:v>C002</x:v>
      </x:c>
      <x:c r="D168" s="16" t="str">
        <x:v>P006</x:v>
      </x:c>
      <x:c r="E168" s="16" t="n">
        <x:v>338</x:v>
      </x:c>
      <x:c r="F168" s="16" t="n">
        <x:v>17.8</x:v>
      </x:c>
      <x:c r="G168" s="16" t="n">
        <x:v>0.05</x:v>
      </x:c>
      <x:c r="H168" s="16" t="str">
        <x:v>D001</x:v>
      </x:c>
      <x:c r="I168" s="16" t="str">
        <x:v>Approved</x:v>
      </x:c>
      <x:c r="J168" s="18" t="n">
        <x:v>46302</x:v>
      </x:c>
      <x:c r="K168" s="16" t="str">
        <x:v>Open</x:v>
      </x:c>
    </x:row>
    <x:row r="169">
      <x:c r="A169" s="16" t="str">
        <x:v>SI-260167</x:v>
      </x:c>
      <x:c r="B169" s="18" t="n">
        <x:v>46273</x:v>
      </x:c>
      <x:c r="C169" s="16" t="str">
        <x:v>C009</x:v>
      </x:c>
      <x:c r="D169" s="16" t="str">
        <x:v>P001</x:v>
      </x:c>
      <x:c r="E169" s="16" t="n">
        <x:v>753</x:v>
      </x:c>
      <x:c r="F169" s="16" t="n">
        <x:v>36.34</x:v>
      </x:c>
      <x:c r="G169" s="16" t="n">
        <x:v>0.05</x:v>
      </x:c>
      <x:c r="H169" s="16" t="str">
        <x:v>D001</x:v>
      </x:c>
      <x:c r="I169" s="16" t="str">
        <x:v>Approved</x:v>
      </x:c>
      <x:c r="J169" s="18" t="n">
        <x:v>46318</x:v>
      </x:c>
      <x:c r="K169" s="16" t="str">
        <x:v>Open</x:v>
      </x:c>
    </x:row>
    <x:row r="170">
      <x:c r="A170" s="16" t="str">
        <x:v>SI-260168</x:v>
      </x:c>
      <x:c r="B170" s="18" t="n">
        <x:v>46274</x:v>
      </x:c>
      <x:c r="C170" s="16" t="str">
        <x:v>C007</x:v>
      </x:c>
      <x:c r="D170" s="16" t="str">
        <x:v>P001</x:v>
      </x:c>
      <x:c r="E170" s="16" t="n">
        <x:v>272</x:v>
      </x:c>
      <x:c r="F170" s="16" t="n">
        <x:v>35.23</x:v>
      </x:c>
      <x:c r="G170" s="16" t="n">
        <x:v>0.05</x:v>
      </x:c>
      <x:c r="H170" s="16" t="str">
        <x:v>D001</x:v>
      </x:c>
      <x:c r="I170" s="16" t="str">
        <x:v>Approved</x:v>
      </x:c>
      <x:c r="J170" s="18" t="n">
        <x:v>46304</x:v>
      </x:c>
      <x:c r="K170" s="16" t="str">
        <x:v>Open</x:v>
      </x:c>
    </x:row>
    <x:row r="171">
      <x:c r="A171" s="16" t="str">
        <x:v>SI-260169</x:v>
      </x:c>
      <x:c r="B171" s="18" t="n">
        <x:v>46275</x:v>
      </x:c>
      <x:c r="C171" s="16" t="str">
        <x:v>C008</x:v>
      </x:c>
      <x:c r="D171" s="16" t="str">
        <x:v>P001</x:v>
      </x:c>
      <x:c r="E171" s="16" t="n">
        <x:v>288</x:v>
      </x:c>
      <x:c r="F171" s="16" t="n">
        <x:v>34.44</x:v>
      </x:c>
      <x:c r="G171" s="16" t="n">
        <x:v>0.05</x:v>
      </x:c>
      <x:c r="H171" s="16" t="str">
        <x:v>D001</x:v>
      </x:c>
      <x:c r="I171" s="16" t="str">
        <x:v>Approved</x:v>
      </x:c>
      <x:c r="J171" s="18" t="n">
        <x:v>46290</x:v>
      </x:c>
      <x:c r="K171" s="16" t="str">
        <x:v>Paid</x:v>
      </x:c>
    </x:row>
    <x:row r="172">
      <x:c r="A172" s="16" t="str">
        <x:v>SI-260170</x:v>
      </x:c>
      <x:c r="B172" s="18" t="n">
        <x:v>46276</x:v>
      </x:c>
      <x:c r="C172" s="16" t="str">
        <x:v>C005</x:v>
      </x:c>
      <x:c r="D172" s="16" t="str">
        <x:v>P008</x:v>
      </x:c>
      <x:c r="E172" s="16" t="n">
        <x:v>795</x:v>
      </x:c>
      <x:c r="F172" s="16" t="n">
        <x:v>145.53</x:v>
      </x:c>
      <x:c r="G172" s="16" t="n">
        <x:v>0.05</x:v>
      </x:c>
      <x:c r="H172" s="16" t="str">
        <x:v>D001</x:v>
      </x:c>
      <x:c r="I172" s="16" t="str">
        <x:v>Approved</x:v>
      </x:c>
      <x:c r="J172" s="18" t="n">
        <x:v>46321</x:v>
      </x:c>
      <x:c r="K172" s="16" t="str">
        <x:v>Paid</x:v>
      </x:c>
    </x:row>
    <x:row r="173">
      <x:c r="A173" s="16" t="str">
        <x:v>SI-260171</x:v>
      </x:c>
      <x:c r="B173" s="18" t="n">
        <x:v>46277</x:v>
      </x:c>
      <x:c r="C173" s="16" t="str">
        <x:v>C010</x:v>
      </x:c>
      <x:c r="D173" s="16" t="str">
        <x:v>P004</x:v>
      </x:c>
      <x:c r="E173" s="16" t="n">
        <x:v>806</x:v>
      </x:c>
      <x:c r="F173" s="16" t="n">
        <x:v>40.92</x:v>
      </x:c>
      <x:c r="G173" s="16" t="n">
        <x:v>0.05</x:v>
      </x:c>
      <x:c r="H173" s="16" t="str">
        <x:v>D001</x:v>
      </x:c>
      <x:c r="I173" s="16" t="str">
        <x:v>Approved</x:v>
      </x:c>
      <x:c r="J173" s="18" t="n">
        <x:v>46307</x:v>
      </x:c>
      <x:c r="K173" s="16" t="str">
        <x:v>Paid</x:v>
      </x:c>
    </x:row>
    <x:row r="174">
      <x:c r="A174" s="16" t="str">
        <x:v>SI-260172</x:v>
      </x:c>
      <x:c r="B174" s="18" t="n">
        <x:v>46278</x:v>
      </x:c>
      <x:c r="C174" s="16" t="str">
        <x:v>C009</x:v>
      </x:c>
      <x:c r="D174" s="16" t="str">
        <x:v>P007</x:v>
      </x:c>
      <x:c r="E174" s="16" t="n">
        <x:v>175</x:v>
      </x:c>
      <x:c r="F174" s="16" t="n">
        <x:v>93.12</x:v>
      </x:c>
      <x:c r="G174" s="16" t="n">
        <x:v>0.05</x:v>
      </x:c>
      <x:c r="H174" s="16" t="str">
        <x:v>D001</x:v>
      </x:c>
      <x:c r="I174" s="16" t="str">
        <x:v>Approved</x:v>
      </x:c>
      <x:c r="J174" s="18" t="n">
        <x:v>46323</x:v>
      </x:c>
      <x:c r="K174" s="16" t="str">
        <x:v>Paid</x:v>
      </x:c>
    </x:row>
    <x:row r="175">
      <x:c r="A175" s="16" t="str">
        <x:v>SI-260173</x:v>
      </x:c>
      <x:c r="B175" s="18" t="n">
        <x:v>46279</x:v>
      </x:c>
      <x:c r="C175" s="16" t="str">
        <x:v>C008</x:v>
      </x:c>
      <x:c r="D175" s="16" t="str">
        <x:v>P002</x:v>
      </x:c>
      <x:c r="E175" s="16" t="n">
        <x:v>743</x:v>
      </x:c>
      <x:c r="F175" s="16" t="n">
        <x:v>56.92</x:v>
      </x:c>
      <x:c r="G175" s="16" t="n">
        <x:v>0.05</x:v>
      </x:c>
      <x:c r="H175" s="16" t="str">
        <x:v>D001</x:v>
      </x:c>
      <x:c r="I175" s="16" t="str">
        <x:v>Approved</x:v>
      </x:c>
      <x:c r="J175" s="18" t="n">
        <x:v>46294</x:v>
      </x:c>
      <x:c r="K175" s="16" t="str">
        <x:v>Open</x:v>
      </x:c>
    </x:row>
    <x:row r="176">
      <x:c r="A176" s="16" t="str">
        <x:v>SI-260174</x:v>
      </x:c>
      <x:c r="B176" s="18" t="n">
        <x:v>46280</x:v>
      </x:c>
      <x:c r="C176" s="16" t="str">
        <x:v>C005</x:v>
      </x:c>
      <x:c r="D176" s="16" t="str">
        <x:v>P005</x:v>
      </x:c>
      <x:c r="E176" s="16" t="n">
        <x:v>505</x:v>
      </x:c>
      <x:c r="F176" s="16" t="n">
        <x:v>70.39</x:v>
      </x:c>
      <x:c r="G176" s="16" t="n">
        <x:v>0.05</x:v>
      </x:c>
      <x:c r="H176" s="16" t="str">
        <x:v>D001</x:v>
      </x:c>
      <x:c r="I176" s="16" t="str">
        <x:v>Approved</x:v>
      </x:c>
      <x:c r="J176" s="18" t="n">
        <x:v>46325</x:v>
      </x:c>
      <x:c r="K176" s="16" t="str">
        <x:v>Open</x:v>
      </x:c>
    </x:row>
    <x:row r="177">
      <x:c r="A177" s="16" t="str">
        <x:v>SI-260175</x:v>
      </x:c>
      <x:c r="B177" s="18" t="n">
        <x:v>46281</x:v>
      </x:c>
      <x:c r="C177" s="16" t="str">
        <x:v>C004</x:v>
      </x:c>
      <x:c r="D177" s="16" t="str">
        <x:v>P008</x:v>
      </x:c>
      <x:c r="E177" s="16" t="n">
        <x:v>644</x:v>
      </x:c>
      <x:c r="F177" s="16" t="n">
        <x:v>141.09</x:v>
      </x:c>
      <x:c r="G177" s="16" t="n">
        <x:v>0.05</x:v>
      </x:c>
      <x:c r="H177" s="16" t="str">
        <x:v>D001</x:v>
      </x:c>
      <x:c r="I177" s="16" t="str">
        <x:v>Approved</x:v>
      </x:c>
      <x:c r="J177" s="18" t="n">
        <x:v>46311</x:v>
      </x:c>
      <x:c r="K177" s="16" t="str">
        <x:v>Paid</x:v>
      </x:c>
    </x:row>
    <x:row r="178">
      <x:c r="A178" s="16" t="str">
        <x:v>SI-260176</x:v>
      </x:c>
      <x:c r="B178" s="18" t="n">
        <x:v>46282</x:v>
      </x:c>
      <x:c r="C178" s="16" t="str">
        <x:v>C010</x:v>
      </x:c>
      <x:c r="D178" s="16" t="str">
        <x:v>P003</x:v>
      </x:c>
      <x:c r="E178" s="16" t="n">
        <x:v>151</x:v>
      </x:c>
      <x:c r="F178" s="16" t="n">
        <x:v>23.64</x:v>
      </x:c>
      <x:c r="G178" s="16" t="n">
        <x:v>0.05</x:v>
      </x:c>
      <x:c r="H178" s="16" t="str">
        <x:v>D001</x:v>
      </x:c>
      <x:c r="I178" s="16" t="str">
        <x:v>Approved</x:v>
      </x:c>
      <x:c r="J178" s="18" t="n">
        <x:v>46312</x:v>
      </x:c>
      <x:c r="K178" s="16" t="str">
        <x:v>Open</x:v>
      </x:c>
    </x:row>
    <x:row r="179">
      <x:c r="A179" s="16" t="str">
        <x:v>SI-260177</x:v>
      </x:c>
      <x:c r="B179" s="18" t="n">
        <x:v>46283</x:v>
      </x:c>
      <x:c r="C179" s="16" t="str">
        <x:v>C006</x:v>
      </x:c>
      <x:c r="D179" s="16" t="str">
        <x:v>P005</x:v>
      </x:c>
      <x:c r="E179" s="16" t="n">
        <x:v>82</x:v>
      </x:c>
      <x:c r="F179" s="16" t="n">
        <x:v>67.01</x:v>
      </x:c>
      <x:c r="G179" s="16" t="n">
        <x:v>0.05</x:v>
      </x:c>
      <x:c r="H179" s="16" t="str">
        <x:v>D001</x:v>
      </x:c>
      <x:c r="I179" s="16" t="str">
        <x:v>Approved</x:v>
      </x:c>
      <x:c r="J179" s="18" t="n">
        <x:v>46313</x:v>
      </x:c>
      <x:c r="K179" s="16" t="str">
        <x:v>Part Paid</x:v>
      </x:c>
    </x:row>
    <x:row r="180">
      <x:c r="A180" s="16" t="str">
        <x:v>SI-260178</x:v>
      </x:c>
      <x:c r="B180" s="18" t="n">
        <x:v>46284</x:v>
      </x:c>
      <x:c r="C180" s="16" t="str">
        <x:v>C010</x:v>
      </x:c>
      <x:c r="D180" s="16" t="str">
        <x:v>P008</x:v>
      </x:c>
      <x:c r="E180" s="16" t="n">
        <x:v>232</x:v>
      </x:c>
      <x:c r="F180" s="16" t="n">
        <x:v>145.03</x:v>
      </x:c>
      <x:c r="G180" s="16" t="n">
        <x:v>0.05</x:v>
      </x:c>
      <x:c r="H180" s="16" t="str">
        <x:v>D001</x:v>
      </x:c>
      <x:c r="I180" s="16" t="str">
        <x:v>Approved</x:v>
      </x:c>
      <x:c r="J180" s="18" t="n">
        <x:v>46314</x:v>
      </x:c>
      <x:c r="K180" s="16" t="str">
        <x:v>Open</x:v>
      </x:c>
    </x:row>
    <x:row r="181">
      <x:c r="A181" s="16" t="str">
        <x:v>SI-260179</x:v>
      </x:c>
      <x:c r="B181" s="18" t="n">
        <x:v>46285</x:v>
      </x:c>
      <x:c r="C181" s="16" t="str">
        <x:v>C006</x:v>
      </x:c>
      <x:c r="D181" s="16" t="str">
        <x:v>P006</x:v>
      </x:c>
      <x:c r="E181" s="16" t="n">
        <x:v>645</x:v>
      </x:c>
      <x:c r="F181" s="16" t="n">
        <x:v>18.52</x:v>
      </x:c>
      <x:c r="G181" s="16" t="n">
        <x:v>0.05</x:v>
      </x:c>
      <x:c r="H181" s="16" t="str">
        <x:v>D001</x:v>
      </x:c>
      <x:c r="I181" s="16" t="str">
        <x:v>Approved</x:v>
      </x:c>
      <x:c r="J181" s="18" t="n">
        <x:v>46315</x:v>
      </x:c>
      <x:c r="K181" s="16" t="str">
        <x:v>Open</x:v>
      </x:c>
    </x:row>
    <x:row r="182">
      <x:c r="A182" s="16" t="str">
        <x:v>SI-260180</x:v>
      </x:c>
      <x:c r="B182" s="18" t="n">
        <x:v>46286</x:v>
      </x:c>
      <x:c r="C182" s="16" t="str">
        <x:v>C008</x:v>
      </x:c>
      <x:c r="D182" s="16" t="str">
        <x:v>P006</x:v>
      </x:c>
      <x:c r="E182" s="16" t="n">
        <x:v>273</x:v>
      </x:c>
      <x:c r="F182" s="16" t="n">
        <x:v>18.87</x:v>
      </x:c>
      <x:c r="G182" s="16" t="n">
        <x:v>0.05</x:v>
      </x:c>
      <x:c r="H182" s="16" t="str">
        <x:v>D001</x:v>
      </x:c>
      <x:c r="I182" s="16" t="str">
        <x:v>Approved</x:v>
      </x:c>
      <x:c r="J182" s="18" t="n">
        <x:v>46301</x:v>
      </x:c>
      <x:c r="K182" s="16" t="str">
        <x:v>Paid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ff52363d74845b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9" hidden="0" customWidth="1"/>
    <x:col min="6" max="6" width="17" hidden="0" customWidth="1"/>
    <x:col min="7" max="7" width="12" hidden="0" customWidth="1"/>
    <x:col min="8" max="8" width="16" hidden="0" customWidth="1"/>
    <x:col min="9" max="9" width="22" hidden="0" customWidth="1"/>
    <x:col min="10" max="10" width="16" hidden="0" customWidth="1"/>
    <x:col min="11" max="11" width="18" hidden="0" customWidth="1"/>
    <x:col min="12" max="12" width="14" hidden="0" customWidth="1"/>
    <x:col min="13" max="13" width="16" hidden="0" customWidth="1"/>
  </x:cols>
  <x:sheetData>
    <x:row r="1">
      <x:c r="A1" s="70" t="str">
        <x:v>TXN_Purchase_Invoices</x:v>
      </x:c>
    </x:row>
    <x:row r="2">
      <x:c r="A2" s="26" t="str">
        <x:v>Bill_ID</x:v>
      </x:c>
      <x:c r="B2" s="26" t="str">
        <x:v>Bill_Date</x:v>
      </x:c>
      <x:c r="C2" s="26" t="str">
        <x:v>Vendor_ID</x:v>
      </x:c>
      <x:c r="D2" s="26" t="str">
        <x:v>Product_ID</x:v>
      </x:c>
      <x:c r="E2" s="26" t="str">
        <x:v>Qty</x:v>
      </x:c>
      <x:c r="F2" s="26" t="str">
        <x:v>Unit_Cost_USD</x:v>
      </x:c>
      <x:c r="G2" s="26" t="str">
        <x:v>Tax_Rate</x:v>
      </x:c>
      <x:c r="H2" s="26" t="str">
        <x:v>Purchase_Type</x:v>
      </x:c>
      <x:c r="I2" s="26" t="str">
        <x:v>Expense_Asset_Account</x:v>
      </x:c>
      <x:c r="J2" s="26" t="str">
        <x:v>Department_ID</x:v>
      </x:c>
      <x:c r="K2" s="26" t="str">
        <x:v>Approval_Status</x:v>
      </x:c>
      <x:c r="L2" s="26" t="str">
        <x:v>Due_Date</x:v>
      </x:c>
      <x:c r="M2" s="26" t="str">
        <x:v>Payment_Status</x:v>
      </x:c>
    </x:row>
    <x:row r="3">
      <x:c r="A3" s="16" t="str">
        <x:v>PI-260001</x:v>
      </x:c>
      <x:c r="B3" s="18" t="n">
        <x:v>46025</x:v>
      </x:c>
      <x:c r="C3" s="16" t="str">
        <x:v>V001</x:v>
      </x:c>
      <x:c r="D3" s="16" t="str">
        <x:v>P007</x:v>
      </x:c>
      <x:c r="E3" s="38" t="n">
        <x:v>978</x:v>
      </x:c>
      <x:c r="F3" s="38" t="n">
        <x:v>58.62</x:v>
      </x:c>
      <x:c r="G3" s="20" t="n">
        <x:v>0.05</x:v>
      </x:c>
      <x:c r="H3" s="16" t="str">
        <x:v>Inventory</x:v>
      </x:c>
      <x:c r="I3" s="16" t="str">
        <x:v>1200</x:v>
      </x:c>
      <x:c r="J3" s="16" t="str">
        <x:v>D003</x:v>
      </x:c>
      <x:c r="K3" s="16" t="str">
        <x:v>Approved</x:v>
      </x:c>
      <x:c r="L3" s="18" t="n">
        <x:v>46055</x:v>
      </x:c>
      <x:c r="M3" s="16" t="str">
        <x:v>Open</x:v>
      </x:c>
    </x:row>
    <x:row r="4">
      <x:c r="A4" s="16" t="str">
        <x:v>PI-260002</x:v>
      </x:c>
      <x:c r="B4" s="18" t="n">
        <x:v>46028</x:v>
      </x:c>
      <x:c r="C4" s="16" t="str">
        <x:v>V001</x:v>
      </x:c>
      <x:c r="D4" s="16" t="str">
        <x:v>P001</x:v>
      </x:c>
      <x:c r="E4" s="38" t="n">
        <x:v>1151</x:v>
      </x:c>
      <x:c r="F4" s="38" t="n">
        <x:v>21.41</x:v>
      </x:c>
      <x:c r="G4" s="20" t="n">
        <x:v>0.05</x:v>
      </x:c>
      <x:c r="H4" s="16" t="str">
        <x:v>Inventory</x:v>
      </x:c>
      <x:c r="I4" s="16" t="str">
        <x:v>1200</x:v>
      </x:c>
      <x:c r="J4" s="16" t="str">
        <x:v>D003</x:v>
      </x:c>
      <x:c r="K4" s="16" t="str">
        <x:v>Approved</x:v>
      </x:c>
      <x:c r="L4" s="18" t="n">
        <x:v>46058</x:v>
      </x:c>
      <x:c r="M4" s="16" t="str">
        <x:v>Part Paid</x:v>
      </x:c>
    </x:row>
    <x:row r="5">
      <x:c r="A5" s="16" t="str">
        <x:v>PI-260003</x:v>
      </x:c>
      <x:c r="B5" s="18" t="n">
        <x:v>46031</x:v>
      </x:c>
      <x:c r="C5" s="16" t="str">
        <x:v>V001</x:v>
      </x:c>
      <x:c r="D5" s="16" t="str">
        <x:v>P007</x:v>
      </x:c>
      <x:c r="E5" s="38" t="n">
        <x:v>1290</x:v>
      </x:c>
      <x:c r="F5" s="38" t="n">
        <x:v>59.23</x:v>
      </x:c>
      <x:c r="G5" s="20" t="n">
        <x:v>0.05</x:v>
      </x:c>
      <x:c r="H5" s="16" t="str">
        <x:v>Inventory</x:v>
      </x:c>
      <x:c r="I5" s="16" t="str">
        <x:v>1200</x:v>
      </x:c>
      <x:c r="J5" s="16" t="str">
        <x:v>D003</x:v>
      </x:c>
      <x:c r="K5" s="16" t="str">
        <x:v>Approved</x:v>
      </x:c>
      <x:c r="L5" s="18" t="n">
        <x:v>46061</x:v>
      </x:c>
      <x:c r="M5" s="16" t="str">
        <x:v>Part Paid</x:v>
      </x:c>
    </x:row>
    <x:row r="6">
      <x:c r="A6" s="16" t="str">
        <x:v>PI-260004</x:v>
      </x:c>
      <x:c r="B6" s="18" t="n">
        <x:v>46034</x:v>
      </x:c>
      <x:c r="C6" s="16" t="str">
        <x:v>V001</x:v>
      </x:c>
      <x:c r="D6" s="16" t="str">
        <x:v>P003</x:v>
      </x:c>
      <x:c r="E6" s="38" t="n">
        <x:v>1514</x:v>
      </x:c>
      <x:c r="F6" s="38" t="n">
        <x:v>16.59</x:v>
      </x:c>
      <x:c r="G6" s="20" t="n">
        <x:v>0.05</x:v>
      </x:c>
      <x:c r="H6" s="16" t="str">
        <x:v>Inventory</x:v>
      </x:c>
      <x:c r="I6" s="16" t="str">
        <x:v>1200</x:v>
      </x:c>
      <x:c r="J6" s="16" t="str">
        <x:v>D003</x:v>
      </x:c>
      <x:c r="K6" s="16" t="str">
        <x:v>Approved</x:v>
      </x:c>
      <x:c r="L6" s="18" t="n">
        <x:v>46064</x:v>
      </x:c>
      <x:c r="M6" s="16" t="str">
        <x:v>Paid</x:v>
      </x:c>
    </x:row>
    <x:row r="7">
      <x:c r="A7" s="16" t="str">
        <x:v>PI-260005</x:v>
      </x:c>
      <x:c r="B7" s="18" t="n">
        <x:v>46037</x:v>
      </x:c>
      <x:c r="C7" s="16" t="str">
        <x:v>V001</x:v>
      </x:c>
      <x:c r="D7" s="16" t="str">
        <x:v>P006</x:v>
      </x:c>
      <x:c r="E7" s="38" t="n">
        <x:v>705</x:v>
      </x:c>
      <x:c r="F7" s="38" t="n">
        <x:v>11.33</x:v>
      </x:c>
      <x:c r="G7" s="20" t="n">
        <x:v>0.05</x:v>
      </x:c>
      <x:c r="H7" s="16" t="str">
        <x:v>Inventory</x:v>
      </x:c>
      <x:c r="I7" s="16" t="str">
        <x:v>1200</x:v>
      </x:c>
      <x:c r="J7" s="16" t="str">
        <x:v>D003</x:v>
      </x:c>
      <x:c r="K7" s="16" t="str">
        <x:v>Approved</x:v>
      </x:c>
      <x:c r="L7" s="18" t="n">
        <x:v>46067</x:v>
      </x:c>
      <x:c r="M7" s="16" t="str">
        <x:v>Open</x:v>
      </x:c>
    </x:row>
    <x:row r="8">
      <x:c r="A8" s="16" t="str">
        <x:v>PI-260006</x:v>
      </x:c>
      <x:c r="B8" s="18" t="n">
        <x:v>46040</x:v>
      </x:c>
      <x:c r="C8" s="16" t="str">
        <x:v>V001</x:v>
      </x:c>
      <x:c r="D8" s="16" t="str">
        <x:v>P002</x:v>
      </x:c>
      <x:c r="E8" s="38" t="n">
        <x:v>1577</x:v>
      </x:c>
      <x:c r="F8" s="38" t="n">
        <x:v>32.02</x:v>
      </x:c>
      <x:c r="G8" s="20" t="n">
        <x:v>0.05</x:v>
      </x:c>
      <x:c r="H8" s="16" t="str">
        <x:v>Inventory</x:v>
      </x:c>
      <x:c r="I8" s="16" t="str">
        <x:v>1200</x:v>
      </x:c>
      <x:c r="J8" s="16" t="str">
        <x:v>D003</x:v>
      </x:c>
      <x:c r="K8" s="16" t="str">
        <x:v>Approved</x:v>
      </x:c>
      <x:c r="L8" s="18" t="n">
        <x:v>46070</x:v>
      </x:c>
      <x:c r="M8" s="16" t="str">
        <x:v>Paid</x:v>
      </x:c>
    </x:row>
    <x:row r="9">
      <x:c r="A9" s="16" t="str">
        <x:v>PI-260007</x:v>
      </x:c>
      <x:c r="B9" s="18" t="n">
        <x:v>46029</x:v>
      </x:c>
      <x:c r="C9" s="16" t="str">
        <x:v>V008</x:v>
      </x:c>
      <x:c r="D9" s="16" t="str"/>
      <x:c r="E9" s="38" t="n">
        <x:v>1</x:v>
      </x:c>
      <x:c r="F9" s="38" t="n">
        <x:v>3423</x:v>
      </x:c>
      <x:c r="G9" s="20" t="n">
        <x:v>0.05</x:v>
      </x:c>
      <x:c r="H9" s="16" t="str">
        <x:v>Expense</x:v>
      </x:c>
      <x:c r="I9" s="16" t="str">
        <x:v>6600</x:v>
      </x:c>
      <x:c r="J9" s="16" t="str">
        <x:v>D004</x:v>
      </x:c>
      <x:c r="K9" s="16" t="str">
        <x:v>Approved</x:v>
      </x:c>
      <x:c r="L9" s="18" t="n">
        <x:v>46059</x:v>
      </x:c>
      <x:c r="M9" s="16" t="str">
        <x:v>Open</x:v>
      </x:c>
    </x:row>
    <x:row r="10">
      <x:c r="A10" s="16" t="str">
        <x:v>PI-260008</x:v>
      </x:c>
      <x:c r="B10" s="18" t="n">
        <x:v>46037</x:v>
      </x:c>
      <x:c r="C10" s="16" t="str">
        <x:v>V003</x:v>
      </x:c>
      <x:c r="D10" s="16" t="str"/>
      <x:c r="E10" s="38" t="n">
        <x:v>1</x:v>
      </x:c>
      <x:c r="F10" s="38" t="n">
        <x:v>9105</x:v>
      </x:c>
      <x:c r="G10" s="20" t="n">
        <x:v>0.05</x:v>
      </x:c>
      <x:c r="H10" s="16" t="str">
        <x:v>Expense</x:v>
      </x:c>
      <x:c r="I10" s="16" t="str">
        <x:v>6400</x:v>
      </x:c>
      <x:c r="J10" s="16" t="str">
        <x:v>D006</x:v>
      </x:c>
      <x:c r="K10" s="16" t="str">
        <x:v>Approved</x:v>
      </x:c>
      <x:c r="L10" s="18" t="n">
        <x:v>46067</x:v>
      </x:c>
      <x:c r="M10" s="16" t="str">
        <x:v>Open</x:v>
      </x:c>
    </x:row>
    <x:row r="11">
      <x:c r="A11" s="16" t="str">
        <x:v>PI-260009</x:v>
      </x:c>
      <x:c r="B11" s="18" t="n">
        <x:v>46047</x:v>
      </x:c>
      <x:c r="C11" s="16" t="str">
        <x:v>V006</x:v>
      </x:c>
      <x:c r="D11" s="16" t="str"/>
      <x:c r="E11" s="38" t="n">
        <x:v>1</x:v>
      </x:c>
      <x:c r="F11" s="38" t="n">
        <x:v>3657</x:v>
      </x:c>
      <x:c r="G11" s="20" t="n">
        <x:v>0.05</x:v>
      </x:c>
      <x:c r="H11" s="16" t="str">
        <x:v>Expense</x:v>
      </x:c>
      <x:c r="I11" s="16" t="str">
        <x:v>6100</x:v>
      </x:c>
      <x:c r="J11" s="16" t="str">
        <x:v>D005</x:v>
      </x:c>
      <x:c r="K11" s="16" t="str">
        <x:v>Approved</x:v>
      </x:c>
      <x:c r="L11" s="18" t="n">
        <x:v>46077</x:v>
      </x:c>
      <x:c r="M11" s="16" t="str">
        <x:v>Open</x:v>
      </x:c>
    </x:row>
    <x:row r="12">
      <x:c r="A12" s="16" t="str">
        <x:v>PI-260010</x:v>
      </x:c>
      <x:c r="B12" s="18" t="n">
        <x:v>46044</x:v>
      </x:c>
      <x:c r="C12" s="16" t="str">
        <x:v>V004</x:v>
      </x:c>
      <x:c r="D12" s="16" t="str"/>
      <x:c r="E12" s="38" t="n">
        <x:v>1</x:v>
      </x:c>
      <x:c r="F12" s="38" t="n">
        <x:v>19113</x:v>
      </x:c>
      <x:c r="G12" s="20" t="n">
        <x:v>0.05</x:v>
      </x:c>
      <x:c r="H12" s="16" t="str">
        <x:v>Expense</x:v>
      </x:c>
      <x:c r="I12" s="16" t="str">
        <x:v>6300</x:v>
      </x:c>
      <x:c r="J12" s="16" t="str">
        <x:v>D003</x:v>
      </x:c>
      <x:c r="K12" s="16" t="str">
        <x:v>Approved</x:v>
      </x:c>
      <x:c r="L12" s="18" t="n">
        <x:v>46074</x:v>
      </x:c>
      <x:c r="M12" s="16" t="str">
        <x:v>Open</x:v>
      </x:c>
    </x:row>
    <x:row r="13">
      <x:c r="A13" s="16" t="str">
        <x:v>PI-260011</x:v>
      </x:c>
      <x:c r="B13" s="18" t="n">
        <x:v>46047</x:v>
      </x:c>
      <x:c r="C13" s="16" t="str">
        <x:v>V002</x:v>
      </x:c>
      <x:c r="D13" s="16" t="str"/>
      <x:c r="E13" s="38" t="n">
        <x:v>1</x:v>
      </x:c>
      <x:c r="F13" s="38" t="n">
        <x:v>14494</x:v>
      </x:c>
      <x:c r="G13" s="20" t="n">
        <x:v>0.05</x:v>
      </x:c>
      <x:c r="H13" s="16" t="str">
        <x:v>Expense</x:v>
      </x:c>
      <x:c r="I13" s="16" t="str">
        <x:v>6500</x:v>
      </x:c>
      <x:c r="J13" s="16" t="str">
        <x:v>D003</x:v>
      </x:c>
      <x:c r="K13" s="16" t="str">
        <x:v>Approved</x:v>
      </x:c>
      <x:c r="L13" s="18" t="n">
        <x:v>46077</x:v>
      </x:c>
      <x:c r="M13" s="16" t="str">
        <x:v>Paid</x:v>
      </x:c>
    </x:row>
    <x:row r="14">
      <x:c r="A14" s="16" t="str">
        <x:v>PI-260012</x:v>
      </x:c>
      <x:c r="B14" s="18" t="n">
        <x:v>46056</x:v>
      </x:c>
      <x:c r="C14" s="16" t="str">
        <x:v>V001</x:v>
      </x:c>
      <x:c r="D14" s="16" t="str">
        <x:v>P002</x:v>
      </x:c>
      <x:c r="E14" s="38" t="n">
        <x:v>980</x:v>
      </x:c>
      <x:c r="F14" s="38" t="n">
        <x:v>31.33</x:v>
      </x:c>
      <x:c r="G14" s="20" t="n">
        <x:v>0.05</x:v>
      </x:c>
      <x:c r="H14" s="16" t="str">
        <x:v>Inventory</x:v>
      </x:c>
      <x:c r="I14" s="16" t="str">
        <x:v>1200</x:v>
      </x:c>
      <x:c r="J14" s="16" t="str">
        <x:v>D003</x:v>
      </x:c>
      <x:c r="K14" s="16" t="str">
        <x:v>Approved</x:v>
      </x:c>
      <x:c r="L14" s="18" t="n">
        <x:v>46086</x:v>
      </x:c>
      <x:c r="M14" s="16" t="str">
        <x:v>Open</x:v>
      </x:c>
    </x:row>
    <x:row r="15">
      <x:c r="A15" s="16" t="str">
        <x:v>PI-260013</x:v>
      </x:c>
      <x:c r="B15" s="18" t="n">
        <x:v>46059</x:v>
      </x:c>
      <x:c r="C15" s="16" t="str">
        <x:v>V001</x:v>
      </x:c>
      <x:c r="D15" s="16" t="str">
        <x:v>P004</x:v>
      </x:c>
      <x:c r="E15" s="38" t="n">
        <x:v>685</x:v>
      </x:c>
      <x:c r="F15" s="38" t="n">
        <x:v>24.87</x:v>
      </x:c>
      <x:c r="G15" s="20" t="n">
        <x:v>0.05</x:v>
      </x:c>
      <x:c r="H15" s="16" t="str">
        <x:v>Inventory</x:v>
      </x:c>
      <x:c r="I15" s="16" t="str">
        <x:v>1200</x:v>
      </x:c>
      <x:c r="J15" s="16" t="str">
        <x:v>D003</x:v>
      </x:c>
      <x:c r="K15" s="16" t="str">
        <x:v>Approved</x:v>
      </x:c>
      <x:c r="L15" s="18" t="n">
        <x:v>46089</x:v>
      </x:c>
      <x:c r="M15" s="16" t="str">
        <x:v>Paid</x:v>
      </x:c>
    </x:row>
    <x:row r="16">
      <x:c r="A16" s="16" t="str">
        <x:v>PI-260014</x:v>
      </x:c>
      <x:c r="B16" s="18" t="n">
        <x:v>46062</x:v>
      </x:c>
      <x:c r="C16" s="16" t="str">
        <x:v>V001</x:v>
      </x:c>
      <x:c r="D16" s="16" t="str">
        <x:v>P002</x:v>
      </x:c>
      <x:c r="E16" s="38" t="n">
        <x:v>1408</x:v>
      </x:c>
      <x:c r="F16" s="38" t="n">
        <x:v>30.17</x:v>
      </x:c>
      <x:c r="G16" s="20" t="n">
        <x:v>0.05</x:v>
      </x:c>
      <x:c r="H16" s="16" t="str">
        <x:v>Inventory</x:v>
      </x:c>
      <x:c r="I16" s="16" t="str">
        <x:v>1200</x:v>
      </x:c>
      <x:c r="J16" s="16" t="str">
        <x:v>D003</x:v>
      </x:c>
      <x:c r="K16" s="16" t="str">
        <x:v>Approved</x:v>
      </x:c>
      <x:c r="L16" s="18" t="n">
        <x:v>46092</x:v>
      </x:c>
      <x:c r="M16" s="16" t="str">
        <x:v>Open</x:v>
      </x:c>
    </x:row>
    <x:row r="17">
      <x:c r="A17" s="16" t="str">
        <x:v>PI-260015</x:v>
      </x:c>
      <x:c r="B17" s="18" t="n">
        <x:v>46065</x:v>
      </x:c>
      <x:c r="C17" s="16" t="str">
        <x:v>V001</x:v>
      </x:c>
      <x:c r="D17" s="16" t="str">
        <x:v>P001</x:v>
      </x:c>
      <x:c r="E17" s="38" t="n">
        <x:v>594</x:v>
      </x:c>
      <x:c r="F17" s="38" t="n">
        <x:v>20.7</x:v>
      </x:c>
      <x:c r="G17" s="20" t="n">
        <x:v>0.05</x:v>
      </x:c>
      <x:c r="H17" s="16" t="str">
        <x:v>Inventory</x:v>
      </x:c>
      <x:c r="I17" s="16" t="str">
        <x:v>1200</x:v>
      </x:c>
      <x:c r="J17" s="16" t="str">
        <x:v>D003</x:v>
      </x:c>
      <x:c r="K17" s="16" t="str">
        <x:v>Approved</x:v>
      </x:c>
      <x:c r="L17" s="18" t="n">
        <x:v>46095</x:v>
      </x:c>
      <x:c r="M17" s="16" t="str">
        <x:v>Paid</x:v>
      </x:c>
    </x:row>
    <x:row r="18">
      <x:c r="A18" s="16" t="str">
        <x:v>PI-260016</x:v>
      </x:c>
      <x:c r="B18" s="18" t="n">
        <x:v>46068</x:v>
      </x:c>
      <x:c r="C18" s="16" t="str">
        <x:v>V001</x:v>
      </x:c>
      <x:c r="D18" s="16" t="str">
        <x:v>P005</x:v>
      </x:c>
      <x:c r="E18" s="38" t="n">
        <x:v>1234</x:v>
      </x:c>
      <x:c r="F18" s="38" t="n">
        <x:v>38.61</x:v>
      </x:c>
      <x:c r="G18" s="20" t="n">
        <x:v>0.05</x:v>
      </x:c>
      <x:c r="H18" s="16" t="str">
        <x:v>Inventory</x:v>
      </x:c>
      <x:c r="I18" s="16" t="str">
        <x:v>1200</x:v>
      </x:c>
      <x:c r="J18" s="16" t="str">
        <x:v>D003</x:v>
      </x:c>
      <x:c r="K18" s="16" t="str">
        <x:v>Approved</x:v>
      </x:c>
      <x:c r="L18" s="18" t="n">
        <x:v>46098</x:v>
      </x:c>
      <x:c r="M18" s="16" t="str">
        <x:v>Paid</x:v>
      </x:c>
    </x:row>
    <x:row r="19">
      <x:c r="A19" s="16" t="str">
        <x:v>PI-260017</x:v>
      </x:c>
      <x:c r="B19" s="18" t="n">
        <x:v>46071</x:v>
      </x:c>
      <x:c r="C19" s="16" t="str">
        <x:v>V001</x:v>
      </x:c>
      <x:c r="D19" s="16" t="str">
        <x:v>P004</x:v>
      </x:c>
      <x:c r="E19" s="38" t="n">
        <x:v>1587</x:v>
      </x:c>
      <x:c r="F19" s="38" t="n">
        <x:v>24.82</x:v>
      </x:c>
      <x:c r="G19" s="20" t="n">
        <x:v>0.05</x:v>
      </x:c>
      <x:c r="H19" s="16" t="str">
        <x:v>Inventory</x:v>
      </x:c>
      <x:c r="I19" s="16" t="str">
        <x:v>1200</x:v>
      </x:c>
      <x:c r="J19" s="16" t="str">
        <x:v>D003</x:v>
      </x:c>
      <x:c r="K19" s="16" t="str">
        <x:v>Approved</x:v>
      </x:c>
      <x:c r="L19" s="18" t="n">
        <x:v>46101</x:v>
      </x:c>
      <x:c r="M19" s="16" t="str">
        <x:v>Part Paid</x:v>
      </x:c>
    </x:row>
    <x:row r="20">
      <x:c r="A20" s="16" t="str">
        <x:v>PI-260018</x:v>
      </x:c>
      <x:c r="B20" s="18" t="n">
        <x:v>46077</x:v>
      </x:c>
      <x:c r="C20" s="16" t="str">
        <x:v>V003</x:v>
      </x:c>
      <x:c r="D20" s="16" t="str"/>
      <x:c r="E20" s="38" t="n">
        <x:v>1</x:v>
      </x:c>
      <x:c r="F20" s="38" t="n">
        <x:v>9596</x:v>
      </x:c>
      <x:c r="G20" s="20" t="n">
        <x:v>0.05</x:v>
      </x:c>
      <x:c r="H20" s="16" t="str">
        <x:v>Expense</x:v>
      </x:c>
      <x:c r="I20" s="16" t="str">
        <x:v>6400</x:v>
      </x:c>
      <x:c r="J20" s="16" t="str">
        <x:v>D006</x:v>
      </x:c>
      <x:c r="K20" s="16" t="str">
        <x:v>Approved</x:v>
      </x:c>
      <x:c r="L20" s="18" t="n">
        <x:v>46107</x:v>
      </x:c>
      <x:c r="M20" s="16" t="str">
        <x:v>Paid</x:v>
      </x:c>
    </x:row>
    <x:row r="21">
      <x:c r="A21" s="16" t="str">
        <x:v>PI-260019</x:v>
      </x:c>
      <x:c r="B21" s="18" t="n">
        <x:v>46073</x:v>
      </x:c>
      <x:c r="C21" s="16" t="str">
        <x:v>V008</x:v>
      </x:c>
      <x:c r="D21" s="16" t="str"/>
      <x:c r="E21" s="38" t="n">
        <x:v>1</x:v>
      </x:c>
      <x:c r="F21" s="38" t="n">
        <x:v>3888</x:v>
      </x:c>
      <x:c r="G21" s="20" t="n">
        <x:v>0.05</x:v>
      </x:c>
      <x:c r="H21" s="16" t="str">
        <x:v>Expense</x:v>
      </x:c>
      <x:c r="I21" s="16" t="str">
        <x:v>6600</x:v>
      </x:c>
      <x:c r="J21" s="16" t="str">
        <x:v>D004</x:v>
      </x:c>
      <x:c r="K21" s="16" t="str">
        <x:v>Approved</x:v>
      </x:c>
      <x:c r="L21" s="18" t="n">
        <x:v>46103</x:v>
      </x:c>
      <x:c r="M21" s="16" t="str">
        <x:v>Paid</x:v>
      </x:c>
    </x:row>
    <x:row r="22">
      <x:c r="A22" s="16" t="str">
        <x:v>PI-260020</x:v>
      </x:c>
      <x:c r="B22" s="18" t="n">
        <x:v>46065</x:v>
      </x:c>
      <x:c r="C22" s="16" t="str">
        <x:v>V007</x:v>
      </x:c>
      <x:c r="D22" s="16" t="str"/>
      <x:c r="E22" s="38" t="n">
        <x:v>1</x:v>
      </x:c>
      <x:c r="F22" s="38" t="n">
        <x:v>12555</x:v>
      </x:c>
      <x:c r="G22" s="20" t="n">
        <x:v>0.05</x:v>
      </x:c>
      <x:c r="H22" s="16" t="str">
        <x:v>Expense</x:v>
      </x:c>
      <x:c r="I22" s="16" t="str">
        <x:v>6200</x:v>
      </x:c>
      <x:c r="J22" s="16" t="str">
        <x:v>D002</x:v>
      </x:c>
      <x:c r="K22" s="16" t="str">
        <x:v>Approved</x:v>
      </x:c>
      <x:c r="L22" s="18" t="n">
        <x:v>46095</x:v>
      </x:c>
      <x:c r="M22" s="16" t="str">
        <x:v>Open</x:v>
      </x:c>
    </x:row>
    <x:row r="23">
      <x:c r="A23" s="16" t="str">
        <x:v>PI-260021</x:v>
      </x:c>
      <x:c r="B23" s="18" t="n">
        <x:v>46072</x:v>
      </x:c>
      <x:c r="C23" s="16" t="str">
        <x:v>V002</x:v>
      </x:c>
      <x:c r="D23" s="16" t="str"/>
      <x:c r="E23" s="38" t="n">
        <x:v>1</x:v>
      </x:c>
      <x:c r="F23" s="38" t="n">
        <x:v>10683</x:v>
      </x:c>
      <x:c r="G23" s="20" t="n">
        <x:v>0.05</x:v>
      </x:c>
      <x:c r="H23" s="16" t="str">
        <x:v>Expense</x:v>
      </x:c>
      <x:c r="I23" s="16" t="str">
        <x:v>6500</x:v>
      </x:c>
      <x:c r="J23" s="16" t="str">
        <x:v>D003</x:v>
      </x:c>
      <x:c r="K23" s="16" t="str">
        <x:v>Approved</x:v>
      </x:c>
      <x:c r="L23" s="18" t="n">
        <x:v>46102</x:v>
      </x:c>
      <x:c r="M23" s="16" t="str">
        <x:v>Paid</x:v>
      </x:c>
    </x:row>
    <x:row r="24">
      <x:c r="A24" s="16" t="str">
        <x:v>PI-260022</x:v>
      </x:c>
      <x:c r="B24" s="18" t="n">
        <x:v>46072</x:v>
      </x:c>
      <x:c r="C24" s="16" t="str">
        <x:v>V006</x:v>
      </x:c>
      <x:c r="D24" s="16" t="str"/>
      <x:c r="E24" s="38" t="n">
        <x:v>1</x:v>
      </x:c>
      <x:c r="F24" s="38" t="n">
        <x:v>5356</x:v>
      </x:c>
      <x:c r="G24" s="20" t="n">
        <x:v>0.05</x:v>
      </x:c>
      <x:c r="H24" s="16" t="str">
        <x:v>Expense</x:v>
      </x:c>
      <x:c r="I24" s="16" t="str">
        <x:v>6100</x:v>
      </x:c>
      <x:c r="J24" s="16" t="str">
        <x:v>D005</x:v>
      </x:c>
      <x:c r="K24" s="16" t="str">
        <x:v>Approved</x:v>
      </x:c>
      <x:c r="L24" s="18" t="n">
        <x:v>46102</x:v>
      </x:c>
      <x:c r="M24" s="16" t="str">
        <x:v>Paid</x:v>
      </x:c>
    </x:row>
    <x:row r="25">
      <x:c r="A25" s="16" t="str">
        <x:v>PI-260023</x:v>
      </x:c>
      <x:c r="B25" s="18" t="n">
        <x:v>46084</x:v>
      </x:c>
      <x:c r="C25" s="16" t="str">
        <x:v>V001</x:v>
      </x:c>
      <x:c r="D25" s="16" t="str">
        <x:v>P002</x:v>
      </x:c>
      <x:c r="E25" s="38" t="n">
        <x:v>1404</x:v>
      </x:c>
      <x:c r="F25" s="38" t="n">
        <x:v>32.1</x:v>
      </x:c>
      <x:c r="G25" s="20" t="n">
        <x:v>0.05</x:v>
      </x:c>
      <x:c r="H25" s="16" t="str">
        <x:v>Inventory</x:v>
      </x:c>
      <x:c r="I25" s="16" t="str">
        <x:v>1200</x:v>
      </x:c>
      <x:c r="J25" s="16" t="str">
        <x:v>D003</x:v>
      </x:c>
      <x:c r="K25" s="16" t="str">
        <x:v>Approved</x:v>
      </x:c>
      <x:c r="L25" s="18" t="n">
        <x:v>46114</x:v>
      </x:c>
      <x:c r="M25" s="16" t="str">
        <x:v>Part Paid</x:v>
      </x:c>
    </x:row>
    <x:row r="26">
      <x:c r="A26" s="16" t="str">
        <x:v>PI-260024</x:v>
      </x:c>
      <x:c r="B26" s="18" t="n">
        <x:v>46087</x:v>
      </x:c>
      <x:c r="C26" s="16" t="str">
        <x:v>V001</x:v>
      </x:c>
      <x:c r="D26" s="16" t="str">
        <x:v>P005</x:v>
      </x:c>
      <x:c r="E26" s="38" t="n">
        <x:v>1368</x:v>
      </x:c>
      <x:c r="F26" s="38" t="n">
        <x:v>39.59</x:v>
      </x:c>
      <x:c r="G26" s="20" t="n">
        <x:v>0.05</x:v>
      </x:c>
      <x:c r="H26" s="16" t="str">
        <x:v>Inventory</x:v>
      </x:c>
      <x:c r="I26" s="16" t="str">
        <x:v>1200</x:v>
      </x:c>
      <x:c r="J26" s="16" t="str">
        <x:v>D003</x:v>
      </x:c>
      <x:c r="K26" s="16" t="str">
        <x:v>Approved</x:v>
      </x:c>
      <x:c r="L26" s="18" t="n">
        <x:v>46117</x:v>
      </x:c>
      <x:c r="M26" s="16" t="str">
        <x:v>Open</x:v>
      </x:c>
    </x:row>
    <x:row r="27">
      <x:c r="A27" s="16" t="str">
        <x:v>PI-260025</x:v>
      </x:c>
      <x:c r="B27" s="18" t="n">
        <x:v>46090</x:v>
      </x:c>
      <x:c r="C27" s="16" t="str">
        <x:v>V001</x:v>
      </x:c>
      <x:c r="D27" s="16" t="str">
        <x:v>P005</x:v>
      </x:c>
      <x:c r="E27" s="38" t="n">
        <x:v>907</x:v>
      </x:c>
      <x:c r="F27" s="38" t="n">
        <x:v>40.56</x:v>
      </x:c>
      <x:c r="G27" s="20" t="n">
        <x:v>0.05</x:v>
      </x:c>
      <x:c r="H27" s="16" t="str">
        <x:v>Inventory</x:v>
      </x:c>
      <x:c r="I27" s="16" t="str">
        <x:v>1200</x:v>
      </x:c>
      <x:c r="J27" s="16" t="str">
        <x:v>D003</x:v>
      </x:c>
      <x:c r="K27" s="16" t="str">
        <x:v>Approved</x:v>
      </x:c>
      <x:c r="L27" s="18" t="n">
        <x:v>46120</x:v>
      </x:c>
      <x:c r="M27" s="16" t="str">
        <x:v>Open</x:v>
      </x:c>
    </x:row>
    <x:row r="28">
      <x:c r="A28" s="16" t="str">
        <x:v>PI-260026</x:v>
      </x:c>
      <x:c r="B28" s="18" t="n">
        <x:v>46093</x:v>
      </x:c>
      <x:c r="C28" s="16" t="str">
        <x:v>V001</x:v>
      </x:c>
      <x:c r="D28" s="16" t="str">
        <x:v>P002</x:v>
      </x:c>
      <x:c r="E28" s="38" t="n">
        <x:v>985</x:v>
      </x:c>
      <x:c r="F28" s="38" t="n">
        <x:v>30.71</x:v>
      </x:c>
      <x:c r="G28" s="20" t="n">
        <x:v>0.05</x:v>
      </x:c>
      <x:c r="H28" s="16" t="str">
        <x:v>Inventory</x:v>
      </x:c>
      <x:c r="I28" s="16" t="str">
        <x:v>1200</x:v>
      </x:c>
      <x:c r="J28" s="16" t="str">
        <x:v>D003</x:v>
      </x:c>
      <x:c r="K28" s="16" t="str">
        <x:v>Approved</x:v>
      </x:c>
      <x:c r="L28" s="18" t="n">
        <x:v>46123</x:v>
      </x:c>
      <x:c r="M28" s="16" t="str">
        <x:v>Open</x:v>
      </x:c>
    </x:row>
    <x:row r="29">
      <x:c r="A29" s="16" t="str">
        <x:v>PI-260027</x:v>
      </x:c>
      <x:c r="B29" s="18" t="n">
        <x:v>46096</x:v>
      </x:c>
      <x:c r="C29" s="16" t="str">
        <x:v>V001</x:v>
      </x:c>
      <x:c r="D29" s="16" t="str">
        <x:v>P005</x:v>
      </x:c>
      <x:c r="E29" s="38" t="n">
        <x:v>1104</x:v>
      </x:c>
      <x:c r="F29" s="38" t="n">
        <x:v>37.51</x:v>
      </x:c>
      <x:c r="G29" s="20" t="n">
        <x:v>0.05</x:v>
      </x:c>
      <x:c r="H29" s="16" t="str">
        <x:v>Inventory</x:v>
      </x:c>
      <x:c r="I29" s="16" t="str">
        <x:v>1200</x:v>
      </x:c>
      <x:c r="J29" s="16" t="str">
        <x:v>D003</x:v>
      </x:c>
      <x:c r="K29" s="16" t="str">
        <x:v>Approved</x:v>
      </x:c>
      <x:c r="L29" s="18" t="n">
        <x:v>46126</x:v>
      </x:c>
      <x:c r="M29" s="16" t="str">
        <x:v>Part Paid</x:v>
      </x:c>
    </x:row>
    <x:row r="30">
      <x:c r="A30" s="16" t="str">
        <x:v>PI-260028</x:v>
      </x:c>
      <x:c r="B30" s="18" t="n">
        <x:v>46099</x:v>
      </x:c>
      <x:c r="C30" s="16" t="str">
        <x:v>V001</x:v>
      </x:c>
      <x:c r="D30" s="16" t="str">
        <x:v>P007</x:v>
      </x:c>
      <x:c r="E30" s="38" t="n">
        <x:v>1062</x:v>
      </x:c>
      <x:c r="F30" s="38" t="n">
        <x:v>54.76</x:v>
      </x:c>
      <x:c r="G30" s="20" t="n">
        <x:v>0.05</x:v>
      </x:c>
      <x:c r="H30" s="16" t="str">
        <x:v>Inventory</x:v>
      </x:c>
      <x:c r="I30" s="16" t="str">
        <x:v>1200</x:v>
      </x:c>
      <x:c r="J30" s="16" t="str">
        <x:v>D003</x:v>
      </x:c>
      <x:c r="K30" s="16" t="str">
        <x:v>Approved</x:v>
      </x:c>
      <x:c r="L30" s="18" t="n">
        <x:v>46129</x:v>
      </x:c>
      <x:c r="M30" s="16" t="str">
        <x:v>Part Paid</x:v>
      </x:c>
    </x:row>
    <x:row r="31">
      <x:c r="A31" s="16" t="str">
        <x:v>PI-260029</x:v>
      </x:c>
      <x:c r="B31" s="18" t="n">
        <x:v>46105</x:v>
      </x:c>
      <x:c r="C31" s="16" t="str">
        <x:v>V008</x:v>
      </x:c>
      <x:c r="D31" s="16" t="str"/>
      <x:c r="E31" s="38" t="n">
        <x:v>1</x:v>
      </x:c>
      <x:c r="F31" s="38" t="n">
        <x:v>4784</x:v>
      </x:c>
      <x:c r="G31" s="20" t="n">
        <x:v>0.05</x:v>
      </x:c>
      <x:c r="H31" s="16" t="str">
        <x:v>Expense</x:v>
      </x:c>
      <x:c r="I31" s="16" t="str">
        <x:v>6600</x:v>
      </x:c>
      <x:c r="J31" s="16" t="str">
        <x:v>D004</x:v>
      </x:c>
      <x:c r="K31" s="16" t="str">
        <x:v>Approved</x:v>
      </x:c>
      <x:c r="L31" s="18" t="n">
        <x:v>46135</x:v>
      </x:c>
      <x:c r="M31" s="16" t="str">
        <x:v>Open</x:v>
      </x:c>
    </x:row>
    <x:row r="32">
      <x:c r="A32" s="16" t="str">
        <x:v>PI-260030</x:v>
      </x:c>
      <x:c r="B32" s="18" t="n">
        <x:v>46093</x:v>
      </x:c>
      <x:c r="C32" s="16" t="str">
        <x:v>V002</x:v>
      </x:c>
      <x:c r="D32" s="16" t="str"/>
      <x:c r="E32" s="38" t="n">
        <x:v>1</x:v>
      </x:c>
      <x:c r="F32" s="38" t="n">
        <x:v>16930</x:v>
      </x:c>
      <x:c r="G32" s="20" t="n">
        <x:v>0.05</x:v>
      </x:c>
      <x:c r="H32" s="16" t="str">
        <x:v>Expense</x:v>
      </x:c>
      <x:c r="I32" s="16" t="str">
        <x:v>6500</x:v>
      </x:c>
      <x:c r="J32" s="16" t="str">
        <x:v>D003</x:v>
      </x:c>
      <x:c r="K32" s="16" t="str">
        <x:v>Approved</x:v>
      </x:c>
      <x:c r="L32" s="18" t="n">
        <x:v>46123</x:v>
      </x:c>
      <x:c r="M32" s="16" t="str">
        <x:v>Paid</x:v>
      </x:c>
    </x:row>
    <x:row r="33">
      <x:c r="A33" s="16" t="str">
        <x:v>PI-260031</x:v>
      </x:c>
      <x:c r="B33" s="18" t="n">
        <x:v>46105</x:v>
      </x:c>
      <x:c r="C33" s="16" t="str">
        <x:v>V006</x:v>
      </x:c>
      <x:c r="D33" s="16" t="str"/>
      <x:c r="E33" s="38" t="n">
        <x:v>1</x:v>
      </x:c>
      <x:c r="F33" s="38" t="n">
        <x:v>5053</x:v>
      </x:c>
      <x:c r="G33" s="20" t="n">
        <x:v>0.05</x:v>
      </x:c>
      <x:c r="H33" s="16" t="str">
        <x:v>Expense</x:v>
      </x:c>
      <x:c r="I33" s="16" t="str">
        <x:v>6100</x:v>
      </x:c>
      <x:c r="J33" s="16" t="str">
        <x:v>D005</x:v>
      </x:c>
      <x:c r="K33" s="16" t="str">
        <x:v>Approved</x:v>
      </x:c>
      <x:c r="L33" s="18" t="n">
        <x:v>46135</x:v>
      </x:c>
      <x:c r="M33" s="16" t="str">
        <x:v>Paid</x:v>
      </x:c>
    </x:row>
    <x:row r="34">
      <x:c r="A34" s="16" t="str">
        <x:v>PI-260032</x:v>
      </x:c>
      <x:c r="B34" s="18" t="n">
        <x:v>46106</x:v>
      </x:c>
      <x:c r="C34" s="16" t="str">
        <x:v>V003</x:v>
      </x:c>
      <x:c r="D34" s="16" t="str"/>
      <x:c r="E34" s="38" t="n">
        <x:v>1</x:v>
      </x:c>
      <x:c r="F34" s="38" t="n">
        <x:v>4795</x:v>
      </x:c>
      <x:c r="G34" s="20" t="n">
        <x:v>0.05</x:v>
      </x:c>
      <x:c r="H34" s="16" t="str">
        <x:v>Expense</x:v>
      </x:c>
      <x:c r="I34" s="16" t="str">
        <x:v>6400</x:v>
      </x:c>
      <x:c r="J34" s="16" t="str">
        <x:v>D006</x:v>
      </x:c>
      <x:c r="K34" s="16" t="str">
        <x:v>Approved</x:v>
      </x:c>
      <x:c r="L34" s="18" t="n">
        <x:v>46136</x:v>
      </x:c>
      <x:c r="M34" s="16" t="str">
        <x:v>Paid</x:v>
      </x:c>
    </x:row>
    <x:row r="35">
      <x:c r="A35" s="16" t="str">
        <x:v>PI-260033</x:v>
      </x:c>
      <x:c r="B35" s="18" t="n">
        <x:v>46095</x:v>
      </x:c>
      <x:c r="C35" s="16" t="str">
        <x:v>V007</x:v>
      </x:c>
      <x:c r="D35" s="16" t="str"/>
      <x:c r="E35" s="38" t="n">
        <x:v>1</x:v>
      </x:c>
      <x:c r="F35" s="38" t="n">
        <x:v>17920</x:v>
      </x:c>
      <x:c r="G35" s="20" t="n">
        <x:v>0.05</x:v>
      </x:c>
      <x:c r="H35" s="16" t="str">
        <x:v>Expense</x:v>
      </x:c>
      <x:c r="I35" s="16" t="str">
        <x:v>6200</x:v>
      </x:c>
      <x:c r="J35" s="16" t="str">
        <x:v>D002</x:v>
      </x:c>
      <x:c r="K35" s="16" t="str">
        <x:v>Approved</x:v>
      </x:c>
      <x:c r="L35" s="18" t="n">
        <x:v>46125</x:v>
      </x:c>
      <x:c r="M35" s="16" t="str">
        <x:v>Open</x:v>
      </x:c>
    </x:row>
    <x:row r="36">
      <x:c r="A36" s="16" t="str">
        <x:v>PI-260034</x:v>
      </x:c>
      <x:c r="B36" s="18" t="n">
        <x:v>46115</x:v>
      </x:c>
      <x:c r="C36" s="16" t="str">
        <x:v>V001</x:v>
      </x:c>
      <x:c r="D36" s="16" t="str">
        <x:v>P001</x:v>
      </x:c>
      <x:c r="E36" s="38" t="n">
        <x:v>1686</x:v>
      </x:c>
      <x:c r="F36" s="38" t="n">
        <x:v>20.77</x:v>
      </x:c>
      <x:c r="G36" s="20" t="n">
        <x:v>0.05</x:v>
      </x:c>
      <x:c r="H36" s="16" t="str">
        <x:v>Inventory</x:v>
      </x:c>
      <x:c r="I36" s="16" t="str">
        <x:v>1200</x:v>
      </x:c>
      <x:c r="J36" s="16" t="str">
        <x:v>D003</x:v>
      </x:c>
      <x:c r="K36" s="16" t="str">
        <x:v>Approved</x:v>
      </x:c>
      <x:c r="L36" s="18" t="n">
        <x:v>46145</x:v>
      </x:c>
      <x:c r="M36" s="16" t="str">
        <x:v>Paid</x:v>
      </x:c>
    </x:row>
    <x:row r="37">
      <x:c r="A37" s="16" t="str">
        <x:v>PI-260035</x:v>
      </x:c>
      <x:c r="B37" s="18" t="n">
        <x:v>46118</x:v>
      </x:c>
      <x:c r="C37" s="16" t="str">
        <x:v>V001</x:v>
      </x:c>
      <x:c r="D37" s="16" t="str">
        <x:v>P002</x:v>
      </x:c>
      <x:c r="E37" s="38" t="n">
        <x:v>1104</x:v>
      </x:c>
      <x:c r="F37" s="38" t="n">
        <x:v>30.57</x:v>
      </x:c>
      <x:c r="G37" s="20" t="n">
        <x:v>0.05</x:v>
      </x:c>
      <x:c r="H37" s="16" t="str">
        <x:v>Inventory</x:v>
      </x:c>
      <x:c r="I37" s="16" t="str">
        <x:v>1200</x:v>
      </x:c>
      <x:c r="J37" s="16" t="str">
        <x:v>D003</x:v>
      </x:c>
      <x:c r="K37" s="16" t="str">
        <x:v>Approved</x:v>
      </x:c>
      <x:c r="L37" s="18" t="n">
        <x:v>46148</x:v>
      </x:c>
      <x:c r="M37" s="16" t="str">
        <x:v>Open</x:v>
      </x:c>
    </x:row>
    <x:row r="38">
      <x:c r="A38" s="16" t="str">
        <x:v>PI-260036</x:v>
      </x:c>
      <x:c r="B38" s="18" t="n">
        <x:v>46121</x:v>
      </x:c>
      <x:c r="C38" s="16" t="str">
        <x:v>V001</x:v>
      </x:c>
      <x:c r="D38" s="16" t="str">
        <x:v>P003</x:v>
      </x:c>
      <x:c r="E38" s="38" t="n">
        <x:v>911</x:v>
      </x:c>
      <x:c r="F38" s="38" t="n">
        <x:v>15.53</x:v>
      </x:c>
      <x:c r="G38" s="20" t="n">
        <x:v>0.05</x:v>
      </x:c>
      <x:c r="H38" s="16" t="str">
        <x:v>Inventory</x:v>
      </x:c>
      <x:c r="I38" s="16" t="str">
        <x:v>1200</x:v>
      </x:c>
      <x:c r="J38" s="16" t="str">
        <x:v>D003</x:v>
      </x:c>
      <x:c r="K38" s="16" t="str">
        <x:v>Approved</x:v>
      </x:c>
      <x:c r="L38" s="18" t="n">
        <x:v>46151</x:v>
      </x:c>
      <x:c r="M38" s="16" t="str">
        <x:v>Part Paid</x:v>
      </x:c>
    </x:row>
    <x:row r="39">
      <x:c r="A39" s="16" t="str">
        <x:v>PI-260037</x:v>
      </x:c>
      <x:c r="B39" s="18" t="n">
        <x:v>46124</x:v>
      </x:c>
      <x:c r="C39" s="16" t="str">
        <x:v>V001</x:v>
      </x:c>
      <x:c r="D39" s="16" t="str">
        <x:v>P006</x:v>
      </x:c>
      <x:c r="E39" s="38" t="n">
        <x:v>1587</x:v>
      </x:c>
      <x:c r="F39" s="38" t="n">
        <x:v>11</x:v>
      </x:c>
      <x:c r="G39" s="20" t="n">
        <x:v>0.05</x:v>
      </x:c>
      <x:c r="H39" s="16" t="str">
        <x:v>Inventory</x:v>
      </x:c>
      <x:c r="I39" s="16" t="str">
        <x:v>1200</x:v>
      </x:c>
      <x:c r="J39" s="16" t="str">
        <x:v>D003</x:v>
      </x:c>
      <x:c r="K39" s="16" t="str">
        <x:v>Approved</x:v>
      </x:c>
      <x:c r="L39" s="18" t="n">
        <x:v>46154</x:v>
      </x:c>
      <x:c r="M39" s="16" t="str">
        <x:v>Open</x:v>
      </x:c>
    </x:row>
    <x:row r="40">
      <x:c r="A40" s="16" t="str">
        <x:v>PI-260038</x:v>
      </x:c>
      <x:c r="B40" s="18" t="n">
        <x:v>46127</x:v>
      </x:c>
      <x:c r="C40" s="16" t="str">
        <x:v>V001</x:v>
      </x:c>
      <x:c r="D40" s="16" t="str">
        <x:v>P003</x:v>
      </x:c>
      <x:c r="E40" s="38" t="n">
        <x:v>1026</x:v>
      </x:c>
      <x:c r="F40" s="38" t="n">
        <x:v>16.53</x:v>
      </x:c>
      <x:c r="G40" s="20" t="n">
        <x:v>0.05</x:v>
      </x:c>
      <x:c r="H40" s="16" t="str">
        <x:v>Inventory</x:v>
      </x:c>
      <x:c r="I40" s="16" t="str">
        <x:v>1200</x:v>
      </x:c>
      <x:c r="J40" s="16" t="str">
        <x:v>D003</x:v>
      </x:c>
      <x:c r="K40" s="16" t="str">
        <x:v>Approved</x:v>
      </x:c>
      <x:c r="L40" s="18" t="n">
        <x:v>46157</x:v>
      </x:c>
      <x:c r="M40" s="16" t="str">
        <x:v>Open</x:v>
      </x:c>
    </x:row>
    <x:row r="41">
      <x:c r="A41" s="16" t="str">
        <x:v>PI-260039</x:v>
      </x:c>
      <x:c r="B41" s="18" t="n">
        <x:v>46130</x:v>
      </x:c>
      <x:c r="C41" s="16" t="str">
        <x:v>V001</x:v>
      </x:c>
      <x:c r="D41" s="16" t="str">
        <x:v>P005</x:v>
      </x:c>
      <x:c r="E41" s="38" t="n">
        <x:v>1193</x:v>
      </x:c>
      <x:c r="F41" s="38" t="n">
        <x:v>39.95</x:v>
      </x:c>
      <x:c r="G41" s="20" t="n">
        <x:v>0.05</x:v>
      </x:c>
      <x:c r="H41" s="16" t="str">
        <x:v>Inventory</x:v>
      </x:c>
      <x:c r="I41" s="16" t="str">
        <x:v>1200</x:v>
      </x:c>
      <x:c r="J41" s="16" t="str">
        <x:v>D003</x:v>
      </x:c>
      <x:c r="K41" s="16" t="str">
        <x:v>Approved</x:v>
      </x:c>
      <x:c r="L41" s="18" t="n">
        <x:v>46160</x:v>
      </x:c>
      <x:c r="M41" s="16" t="str">
        <x:v>Open</x:v>
      </x:c>
    </x:row>
    <x:row r="42">
      <x:c r="A42" s="16" t="str">
        <x:v>PI-260040</x:v>
      </x:c>
      <x:c r="B42" s="18" t="n">
        <x:v>46134</x:v>
      </x:c>
      <x:c r="C42" s="16" t="str">
        <x:v>V002</x:v>
      </x:c>
      <x:c r="D42" s="16" t="str"/>
      <x:c r="E42" s="38" t="n">
        <x:v>1</x:v>
      </x:c>
      <x:c r="F42" s="38" t="n">
        <x:v>12492</x:v>
      </x:c>
      <x:c r="G42" s="20" t="n">
        <x:v>0.05</x:v>
      </x:c>
      <x:c r="H42" s="16" t="str">
        <x:v>Expense</x:v>
      </x:c>
      <x:c r="I42" s="16" t="str">
        <x:v>6500</x:v>
      </x:c>
      <x:c r="J42" s="16" t="str">
        <x:v>D003</x:v>
      </x:c>
      <x:c r="K42" s="16" t="str">
        <x:v>Approved</x:v>
      </x:c>
      <x:c r="L42" s="18" t="n">
        <x:v>46164</x:v>
      </x:c>
      <x:c r="M42" s="16" t="str">
        <x:v>Paid</x:v>
      </x:c>
    </x:row>
    <x:row r="43">
      <x:c r="A43" s="16" t="str">
        <x:v>PI-260041</x:v>
      </x:c>
      <x:c r="B43" s="18" t="n">
        <x:v>46129</x:v>
      </x:c>
      <x:c r="C43" s="16" t="str">
        <x:v>V003</x:v>
      </x:c>
      <x:c r="D43" s="16" t="str"/>
      <x:c r="E43" s="38" t="n">
        <x:v>1</x:v>
      </x:c>
      <x:c r="F43" s="38" t="n">
        <x:v>4114</x:v>
      </x:c>
      <x:c r="G43" s="20" t="n">
        <x:v>0.05</x:v>
      </x:c>
      <x:c r="H43" s="16" t="str">
        <x:v>Expense</x:v>
      </x:c>
      <x:c r="I43" s="16" t="str">
        <x:v>6400</x:v>
      </x:c>
      <x:c r="J43" s="16" t="str">
        <x:v>D006</x:v>
      </x:c>
      <x:c r="K43" s="16" t="str">
        <x:v>Approved</x:v>
      </x:c>
      <x:c r="L43" s="18" t="n">
        <x:v>46159</x:v>
      </x:c>
      <x:c r="M43" s="16" t="str">
        <x:v>Open</x:v>
      </x:c>
    </x:row>
    <x:row r="44">
      <x:c r="A44" s="16" t="str">
        <x:v>PI-260042</x:v>
      </x:c>
      <x:c r="B44" s="18" t="n">
        <x:v>46134</x:v>
      </x:c>
      <x:c r="C44" s="16" t="str">
        <x:v>V007</x:v>
      </x:c>
      <x:c r="D44" s="16" t="str"/>
      <x:c r="E44" s="38" t="n">
        <x:v>1</x:v>
      </x:c>
      <x:c r="F44" s="38" t="n">
        <x:v>7024</x:v>
      </x:c>
      <x:c r="G44" s="20" t="n">
        <x:v>0.05</x:v>
      </x:c>
      <x:c r="H44" s="16" t="str">
        <x:v>Expense</x:v>
      </x:c>
      <x:c r="I44" s="16" t="str">
        <x:v>6200</x:v>
      </x:c>
      <x:c r="J44" s="16" t="str">
        <x:v>D002</x:v>
      </x:c>
      <x:c r="K44" s="16" t="str">
        <x:v>Approved</x:v>
      </x:c>
      <x:c r="L44" s="18" t="n">
        <x:v>46164</x:v>
      </x:c>
      <x:c r="M44" s="16" t="str">
        <x:v>Open</x:v>
      </x:c>
    </x:row>
    <x:row r="45">
      <x:c r="A45" s="16" t="str">
        <x:v>PI-260043</x:v>
      </x:c>
      <x:c r="B45" s="18" t="n">
        <x:v>46128</x:v>
      </x:c>
      <x:c r="C45" s="16" t="str">
        <x:v>V004</x:v>
      </x:c>
      <x:c r="D45" s="16" t="str"/>
      <x:c r="E45" s="38" t="n">
        <x:v>1</x:v>
      </x:c>
      <x:c r="F45" s="38" t="n">
        <x:v>21511</x:v>
      </x:c>
      <x:c r="G45" s="20" t="n">
        <x:v>0.05</x:v>
      </x:c>
      <x:c r="H45" s="16" t="str">
        <x:v>Expense</x:v>
      </x:c>
      <x:c r="I45" s="16" t="str">
        <x:v>6300</x:v>
      </x:c>
      <x:c r="J45" s="16" t="str">
        <x:v>D003</x:v>
      </x:c>
      <x:c r="K45" s="16" t="str">
        <x:v>Approved</x:v>
      </x:c>
      <x:c r="L45" s="18" t="n">
        <x:v>46158</x:v>
      </x:c>
      <x:c r="M45" s="16" t="str">
        <x:v>Open</x:v>
      </x:c>
    </x:row>
    <x:row r="46">
      <x:c r="A46" s="16" t="str">
        <x:v>PI-260044</x:v>
      </x:c>
      <x:c r="B46" s="18" t="n">
        <x:v>46135</x:v>
      </x:c>
      <x:c r="C46" s="16" t="str">
        <x:v>V006</x:v>
      </x:c>
      <x:c r="D46" s="16" t="str"/>
      <x:c r="E46" s="38" t="n">
        <x:v>1</x:v>
      </x:c>
      <x:c r="F46" s="38" t="n">
        <x:v>6121</x:v>
      </x:c>
      <x:c r="G46" s="20" t="n">
        <x:v>0.05</x:v>
      </x:c>
      <x:c r="H46" s="16" t="str">
        <x:v>Expense</x:v>
      </x:c>
      <x:c r="I46" s="16" t="str">
        <x:v>6100</x:v>
      </x:c>
      <x:c r="J46" s="16" t="str">
        <x:v>D005</x:v>
      </x:c>
      <x:c r="K46" s="16" t="str">
        <x:v>Approved</x:v>
      </x:c>
      <x:c r="L46" s="18" t="n">
        <x:v>46165</x:v>
      </x:c>
      <x:c r="M46" s="16" t="str">
        <x:v>Open</x:v>
      </x:c>
    </x:row>
    <x:row r="47">
      <x:c r="A47" s="16" t="str">
        <x:v>PI-260045</x:v>
      </x:c>
      <x:c r="B47" s="18" t="n">
        <x:v>46145</x:v>
      </x:c>
      <x:c r="C47" s="16" t="str">
        <x:v>V001</x:v>
      </x:c>
      <x:c r="D47" s="16" t="str">
        <x:v>P002</x:v>
      </x:c>
      <x:c r="E47" s="38" t="n">
        <x:v>978</x:v>
      </x:c>
      <x:c r="F47" s="38" t="n">
        <x:v>30.93</x:v>
      </x:c>
      <x:c r="G47" s="20" t="n">
        <x:v>0.05</x:v>
      </x:c>
      <x:c r="H47" s="16" t="str">
        <x:v>Inventory</x:v>
      </x:c>
      <x:c r="I47" s="16" t="str">
        <x:v>1200</x:v>
      </x:c>
      <x:c r="J47" s="16" t="str">
        <x:v>D003</x:v>
      </x:c>
      <x:c r="K47" s="16" t="str">
        <x:v>Approved</x:v>
      </x:c>
      <x:c r="L47" s="18" t="n">
        <x:v>46175</x:v>
      </x:c>
      <x:c r="M47" s="16" t="str">
        <x:v>Part Paid</x:v>
      </x:c>
    </x:row>
    <x:row r="48">
      <x:c r="A48" s="16" t="str">
        <x:v>PI-260046</x:v>
      </x:c>
      <x:c r="B48" s="18" t="n">
        <x:v>46148</x:v>
      </x:c>
      <x:c r="C48" s="16" t="str">
        <x:v>V001</x:v>
      </x:c>
      <x:c r="D48" s="16" t="str">
        <x:v>P006</x:v>
      </x:c>
      <x:c r="E48" s="38" t="n">
        <x:v>1749</x:v>
      </x:c>
      <x:c r="F48" s="38" t="n">
        <x:v>10.75</x:v>
      </x:c>
      <x:c r="G48" s="20" t="n">
        <x:v>0.05</x:v>
      </x:c>
      <x:c r="H48" s="16" t="str">
        <x:v>Inventory</x:v>
      </x:c>
      <x:c r="I48" s="16" t="str">
        <x:v>1200</x:v>
      </x:c>
      <x:c r="J48" s="16" t="str">
        <x:v>D003</x:v>
      </x:c>
      <x:c r="K48" s="16" t="str">
        <x:v>Approved</x:v>
      </x:c>
      <x:c r="L48" s="18" t="n">
        <x:v>46178</x:v>
      </x:c>
      <x:c r="M48" s="16" t="str">
        <x:v>Paid</x:v>
      </x:c>
    </x:row>
    <x:row r="49">
      <x:c r="A49" s="16" t="str">
        <x:v>PI-260047</x:v>
      </x:c>
      <x:c r="B49" s="18" t="n">
        <x:v>46151</x:v>
      </x:c>
      <x:c r="C49" s="16" t="str">
        <x:v>V001</x:v>
      </x:c>
      <x:c r="D49" s="16" t="str">
        <x:v>P008</x:v>
      </x:c>
      <x:c r="E49" s="38" t="n">
        <x:v>1118</x:v>
      </x:c>
      <x:c r="F49" s="38" t="n">
        <x:v>87.03</x:v>
      </x:c>
      <x:c r="G49" s="20" t="n">
        <x:v>0.05</x:v>
      </x:c>
      <x:c r="H49" s="16" t="str">
        <x:v>Inventory</x:v>
      </x:c>
      <x:c r="I49" s="16" t="str">
        <x:v>1200</x:v>
      </x:c>
      <x:c r="J49" s="16" t="str">
        <x:v>D003</x:v>
      </x:c>
      <x:c r="K49" s="16" t="str">
        <x:v>Approved</x:v>
      </x:c>
      <x:c r="L49" s="18" t="n">
        <x:v>46181</x:v>
      </x:c>
      <x:c r="M49" s="16" t="str">
        <x:v>Paid</x:v>
      </x:c>
    </x:row>
    <x:row r="50">
      <x:c r="A50" s="16" t="str">
        <x:v>PI-260048</x:v>
      </x:c>
      <x:c r="B50" s="18" t="n">
        <x:v>46154</x:v>
      </x:c>
      <x:c r="C50" s="16" t="str">
        <x:v>V001</x:v>
      </x:c>
      <x:c r="D50" s="16" t="str">
        <x:v>P003</x:v>
      </x:c>
      <x:c r="E50" s="38" t="n">
        <x:v>592</x:v>
      </x:c>
      <x:c r="F50" s="38" t="n">
        <x:v>16.57</x:v>
      </x:c>
      <x:c r="G50" s="20" t="n">
        <x:v>0.05</x:v>
      </x:c>
      <x:c r="H50" s="16" t="str">
        <x:v>Inventory</x:v>
      </x:c>
      <x:c r="I50" s="16" t="str">
        <x:v>1200</x:v>
      </x:c>
      <x:c r="J50" s="16" t="str">
        <x:v>D003</x:v>
      </x:c>
      <x:c r="K50" s="16" t="str">
        <x:v>Approved</x:v>
      </x:c>
      <x:c r="L50" s="18" t="n">
        <x:v>46184</x:v>
      </x:c>
      <x:c r="M50" s="16" t="str">
        <x:v>Open</x:v>
      </x:c>
    </x:row>
    <x:row r="51">
      <x:c r="A51" s="16" t="str">
        <x:v>PI-260049</x:v>
      </x:c>
      <x:c r="B51" s="18" t="n">
        <x:v>46157</x:v>
      </x:c>
      <x:c r="C51" s="16" t="str">
        <x:v>V001</x:v>
      </x:c>
      <x:c r="D51" s="16" t="str">
        <x:v>P008</x:v>
      </x:c>
      <x:c r="E51" s="38" t="n">
        <x:v>737</x:v>
      </x:c>
      <x:c r="F51" s="38" t="n">
        <x:v>83.23</x:v>
      </x:c>
      <x:c r="G51" s="20" t="n">
        <x:v>0.05</x:v>
      </x:c>
      <x:c r="H51" s="16" t="str">
        <x:v>Inventory</x:v>
      </x:c>
      <x:c r="I51" s="16" t="str">
        <x:v>1200</x:v>
      </x:c>
      <x:c r="J51" s="16" t="str">
        <x:v>D003</x:v>
      </x:c>
      <x:c r="K51" s="16" t="str">
        <x:v>Approved</x:v>
      </x:c>
      <x:c r="L51" s="18" t="n">
        <x:v>46187</x:v>
      </x:c>
      <x:c r="M51" s="16" t="str">
        <x:v>Part Paid</x:v>
      </x:c>
    </x:row>
    <x:row r="52">
      <x:c r="A52" s="16" t="str">
        <x:v>PI-260050</x:v>
      </x:c>
      <x:c r="B52" s="18" t="n">
        <x:v>46160</x:v>
      </x:c>
      <x:c r="C52" s="16" t="str">
        <x:v>V001</x:v>
      </x:c>
      <x:c r="D52" s="16" t="str">
        <x:v>P003</x:v>
      </x:c>
      <x:c r="E52" s="38" t="n">
        <x:v>1295</x:v>
      </x:c>
      <x:c r="F52" s="38" t="n">
        <x:v>15.94</x:v>
      </x:c>
      <x:c r="G52" s="20" t="n">
        <x:v>0.05</x:v>
      </x:c>
      <x:c r="H52" s="16" t="str">
        <x:v>Inventory</x:v>
      </x:c>
      <x:c r="I52" s="16" t="str">
        <x:v>1200</x:v>
      </x:c>
      <x:c r="J52" s="16" t="str">
        <x:v>D003</x:v>
      </x:c>
      <x:c r="K52" s="16" t="str">
        <x:v>Approved</x:v>
      </x:c>
      <x:c r="L52" s="18" t="n">
        <x:v>46190</x:v>
      </x:c>
      <x:c r="M52" s="16" t="str">
        <x:v>Part Paid</x:v>
      </x:c>
    </x:row>
    <x:row r="53">
      <x:c r="A53" s="16" t="str">
        <x:v>PI-260051</x:v>
      </x:c>
      <x:c r="B53" s="18" t="n">
        <x:v>46160</x:v>
      </x:c>
      <x:c r="C53" s="16" t="str">
        <x:v>V008</x:v>
      </x:c>
      <x:c r="D53" s="16" t="str"/>
      <x:c r="E53" s="38" t="n">
        <x:v>1</x:v>
      </x:c>
      <x:c r="F53" s="38" t="n">
        <x:v>4182</x:v>
      </x:c>
      <x:c r="G53" s="20" t="n">
        <x:v>0.05</x:v>
      </x:c>
      <x:c r="H53" s="16" t="str">
        <x:v>Expense</x:v>
      </x:c>
      <x:c r="I53" s="16" t="str">
        <x:v>6600</x:v>
      </x:c>
      <x:c r="J53" s="16" t="str">
        <x:v>D004</x:v>
      </x:c>
      <x:c r="K53" s="16" t="str">
        <x:v>Approved</x:v>
      </x:c>
      <x:c r="L53" s="18" t="n">
        <x:v>46190</x:v>
      </x:c>
      <x:c r="M53" s="16" t="str">
        <x:v>Paid</x:v>
      </x:c>
    </x:row>
    <x:row r="54">
      <x:c r="A54" s="16" t="str">
        <x:v>PI-260052</x:v>
      </x:c>
      <x:c r="B54" s="18" t="n">
        <x:v>46162</x:v>
      </x:c>
      <x:c r="C54" s="16" t="str">
        <x:v>V007</x:v>
      </x:c>
      <x:c r="D54" s="16" t="str"/>
      <x:c r="E54" s="38" t="n">
        <x:v>1</x:v>
      </x:c>
      <x:c r="F54" s="38" t="n">
        <x:v>15086</x:v>
      </x:c>
      <x:c r="G54" s="20" t="n">
        <x:v>0.05</x:v>
      </x:c>
      <x:c r="H54" s="16" t="str">
        <x:v>Expense</x:v>
      </x:c>
      <x:c r="I54" s="16" t="str">
        <x:v>6200</x:v>
      </x:c>
      <x:c r="J54" s="16" t="str">
        <x:v>D002</x:v>
      </x:c>
      <x:c r="K54" s="16" t="str">
        <x:v>Approved</x:v>
      </x:c>
      <x:c r="L54" s="18" t="n">
        <x:v>46192</x:v>
      </x:c>
      <x:c r="M54" s="16" t="str">
        <x:v>Open</x:v>
      </x:c>
    </x:row>
    <x:row r="55">
      <x:c r="A55" s="16" t="str">
        <x:v>PI-260053</x:v>
      </x:c>
      <x:c r="B55" s="18" t="n">
        <x:v>46155</x:v>
      </x:c>
      <x:c r="C55" s="16" t="str">
        <x:v>V006</x:v>
      </x:c>
      <x:c r="D55" s="16" t="str"/>
      <x:c r="E55" s="38" t="n">
        <x:v>1</x:v>
      </x:c>
      <x:c r="F55" s="38" t="n">
        <x:v>3268</x:v>
      </x:c>
      <x:c r="G55" s="20" t="n">
        <x:v>0.05</x:v>
      </x:c>
      <x:c r="H55" s="16" t="str">
        <x:v>Expense</x:v>
      </x:c>
      <x:c r="I55" s="16" t="str">
        <x:v>6100</x:v>
      </x:c>
      <x:c r="J55" s="16" t="str">
        <x:v>D005</x:v>
      </x:c>
      <x:c r="K55" s="16" t="str">
        <x:v>Approved</x:v>
      </x:c>
      <x:c r="L55" s="18" t="n">
        <x:v>46185</x:v>
      </x:c>
      <x:c r="M55" s="16" t="str">
        <x:v>Open</x:v>
      </x:c>
    </x:row>
    <x:row r="56">
      <x:c r="A56" s="16" t="str">
        <x:v>PI-260054</x:v>
      </x:c>
      <x:c r="B56" s="18" t="n">
        <x:v>46153</x:v>
      </x:c>
      <x:c r="C56" s="16" t="str">
        <x:v>V004</x:v>
      </x:c>
      <x:c r="D56" s="16" t="str"/>
      <x:c r="E56" s="38" t="n">
        <x:v>1</x:v>
      </x:c>
      <x:c r="F56" s="38" t="n">
        <x:v>19632</x:v>
      </x:c>
      <x:c r="G56" s="20" t="n">
        <x:v>0.05</x:v>
      </x:c>
      <x:c r="H56" s="16" t="str">
        <x:v>Expense</x:v>
      </x:c>
      <x:c r="I56" s="16" t="str">
        <x:v>6300</x:v>
      </x:c>
      <x:c r="J56" s="16" t="str">
        <x:v>D003</x:v>
      </x:c>
      <x:c r="K56" s="16" t="str">
        <x:v>Approved</x:v>
      </x:c>
      <x:c r="L56" s="18" t="n">
        <x:v>46183</x:v>
      </x:c>
      <x:c r="M56" s="16" t="str">
        <x:v>Open</x:v>
      </x:c>
    </x:row>
    <x:row r="57">
      <x:c r="A57" s="16" t="str">
        <x:v>PI-260055</x:v>
      </x:c>
      <x:c r="B57" s="18" t="n">
        <x:v>46154</x:v>
      </x:c>
      <x:c r="C57" s="16" t="str">
        <x:v>V002</x:v>
      </x:c>
      <x:c r="D57" s="16" t="str"/>
      <x:c r="E57" s="38" t="n">
        <x:v>1</x:v>
      </x:c>
      <x:c r="F57" s="38" t="n">
        <x:v>12442</x:v>
      </x:c>
      <x:c r="G57" s="20" t="n">
        <x:v>0.05</x:v>
      </x:c>
      <x:c r="H57" s="16" t="str">
        <x:v>Expense</x:v>
      </x:c>
      <x:c r="I57" s="16" t="str">
        <x:v>6500</x:v>
      </x:c>
      <x:c r="J57" s="16" t="str">
        <x:v>D003</x:v>
      </x:c>
      <x:c r="K57" s="16" t="str">
        <x:v>Approved</x:v>
      </x:c>
      <x:c r="L57" s="18" t="n">
        <x:v>46184</x:v>
      </x:c>
      <x:c r="M57" s="16" t="str">
        <x:v>Paid</x:v>
      </x:c>
    </x:row>
    <x:row r="58">
      <x:c r="A58" s="16" t="str">
        <x:v>PI-260056</x:v>
      </x:c>
      <x:c r="B58" s="18" t="n">
        <x:v>46176</x:v>
      </x:c>
      <x:c r="C58" s="16" t="str">
        <x:v>V001</x:v>
      </x:c>
      <x:c r="D58" s="16" t="str">
        <x:v>P006</x:v>
      </x:c>
      <x:c r="E58" s="38" t="n">
        <x:v>1615</x:v>
      </x:c>
      <x:c r="F58" s="38" t="n">
        <x:v>11.35</x:v>
      </x:c>
      <x:c r="G58" s="20" t="n">
        <x:v>0.05</x:v>
      </x:c>
      <x:c r="H58" s="16" t="str">
        <x:v>Inventory</x:v>
      </x:c>
      <x:c r="I58" s="16" t="str">
        <x:v>1200</x:v>
      </x:c>
      <x:c r="J58" s="16" t="str">
        <x:v>D003</x:v>
      </x:c>
      <x:c r="K58" s="16" t="str">
        <x:v>Approved</x:v>
      </x:c>
      <x:c r="L58" s="18" t="n">
        <x:v>46206</x:v>
      </x:c>
      <x:c r="M58" s="16" t="str">
        <x:v>Part Paid</x:v>
      </x:c>
    </x:row>
    <x:row r="59">
      <x:c r="A59" s="16" t="str">
        <x:v>PI-260057</x:v>
      </x:c>
      <x:c r="B59" s="18" t="n">
        <x:v>46179</x:v>
      </x:c>
      <x:c r="C59" s="16" t="str">
        <x:v>V001</x:v>
      </x:c>
      <x:c r="D59" s="16" t="str">
        <x:v>P006</x:v>
      </x:c>
      <x:c r="E59" s="38" t="n">
        <x:v>624</x:v>
      </x:c>
      <x:c r="F59" s="38" t="n">
        <x:v>10.91</x:v>
      </x:c>
      <x:c r="G59" s="20" t="n">
        <x:v>0.05</x:v>
      </x:c>
      <x:c r="H59" s="16" t="str">
        <x:v>Inventory</x:v>
      </x:c>
      <x:c r="I59" s="16" t="str">
        <x:v>1200</x:v>
      </x:c>
      <x:c r="J59" s="16" t="str">
        <x:v>D003</x:v>
      </x:c>
      <x:c r="K59" s="16" t="str">
        <x:v>Approved</x:v>
      </x:c>
      <x:c r="L59" s="18" t="n">
        <x:v>46209</x:v>
      </x:c>
      <x:c r="M59" s="16" t="str">
        <x:v>Paid</x:v>
      </x:c>
    </x:row>
    <x:row r="60">
      <x:c r="A60" s="16" t="str">
        <x:v>PI-260058</x:v>
      </x:c>
      <x:c r="B60" s="18" t="n">
        <x:v>46182</x:v>
      </x:c>
      <x:c r="C60" s="16" t="str">
        <x:v>V001</x:v>
      </x:c>
      <x:c r="D60" s="16" t="str">
        <x:v>P002</x:v>
      </x:c>
      <x:c r="E60" s="38" t="n">
        <x:v>1431</x:v>
      </x:c>
      <x:c r="F60" s="38" t="n">
        <x:v>29.99</x:v>
      </x:c>
      <x:c r="G60" s="20" t="n">
        <x:v>0.05</x:v>
      </x:c>
      <x:c r="H60" s="16" t="str">
        <x:v>Inventory</x:v>
      </x:c>
      <x:c r="I60" s="16" t="str">
        <x:v>1200</x:v>
      </x:c>
      <x:c r="J60" s="16" t="str">
        <x:v>D003</x:v>
      </x:c>
      <x:c r="K60" s="16" t="str">
        <x:v>Approved</x:v>
      </x:c>
      <x:c r="L60" s="18" t="n">
        <x:v>46212</x:v>
      </x:c>
      <x:c r="M60" s="16" t="str">
        <x:v>Paid</x:v>
      </x:c>
    </x:row>
    <x:row r="61">
      <x:c r="A61" s="16" t="str">
        <x:v>PI-260059</x:v>
      </x:c>
      <x:c r="B61" s="18" t="n">
        <x:v>46185</x:v>
      </x:c>
      <x:c r="C61" s="16" t="str">
        <x:v>V001</x:v>
      </x:c>
      <x:c r="D61" s="16" t="str">
        <x:v>P001</x:v>
      </x:c>
      <x:c r="E61" s="38" t="n">
        <x:v>603</x:v>
      </x:c>
      <x:c r="F61" s="38" t="n">
        <x:v>21.48</x:v>
      </x:c>
      <x:c r="G61" s="20" t="n">
        <x:v>0.05</x:v>
      </x:c>
      <x:c r="H61" s="16" t="str">
        <x:v>Inventory</x:v>
      </x:c>
      <x:c r="I61" s="16" t="str">
        <x:v>1200</x:v>
      </x:c>
      <x:c r="J61" s="16" t="str">
        <x:v>D003</x:v>
      </x:c>
      <x:c r="K61" s="16" t="str">
        <x:v>Approved</x:v>
      </x:c>
      <x:c r="L61" s="18" t="n">
        <x:v>46215</x:v>
      </x:c>
      <x:c r="M61" s="16" t="str">
        <x:v>Paid</x:v>
      </x:c>
    </x:row>
    <x:row r="62">
      <x:c r="A62" s="16" t="str">
        <x:v>PI-260060</x:v>
      </x:c>
      <x:c r="B62" s="18" t="n">
        <x:v>46188</x:v>
      </x:c>
      <x:c r="C62" s="16" t="str">
        <x:v>V001</x:v>
      </x:c>
      <x:c r="D62" s="16" t="str">
        <x:v>P003</x:v>
      </x:c>
      <x:c r="E62" s="38" t="n">
        <x:v>1656</x:v>
      </x:c>
      <x:c r="F62" s="38" t="n">
        <x:v>15.62</x:v>
      </x:c>
      <x:c r="G62" s="20" t="n">
        <x:v>0.05</x:v>
      </x:c>
      <x:c r="H62" s="16" t="str">
        <x:v>Inventory</x:v>
      </x:c>
      <x:c r="I62" s="16" t="str">
        <x:v>1200</x:v>
      </x:c>
      <x:c r="J62" s="16" t="str">
        <x:v>D003</x:v>
      </x:c>
      <x:c r="K62" s="16" t="str">
        <x:v>Approved</x:v>
      </x:c>
      <x:c r="L62" s="18" t="n">
        <x:v>46218</x:v>
      </x:c>
      <x:c r="M62" s="16" t="str">
        <x:v>Part Paid</x:v>
      </x:c>
    </x:row>
    <x:row r="63">
      <x:c r="A63" s="16" t="str">
        <x:v>PI-260061</x:v>
      </x:c>
      <x:c r="B63" s="18" t="n">
        <x:v>46191</x:v>
      </x:c>
      <x:c r="C63" s="16" t="str">
        <x:v>V001</x:v>
      </x:c>
      <x:c r="D63" s="16" t="str">
        <x:v>P004</x:v>
      </x:c>
      <x:c r="E63" s="38" t="n">
        <x:v>1700</x:v>
      </x:c>
      <x:c r="F63" s="38" t="n">
        <x:v>24.43</x:v>
      </x:c>
      <x:c r="G63" s="20" t="n">
        <x:v>0.05</x:v>
      </x:c>
      <x:c r="H63" s="16" t="str">
        <x:v>Inventory</x:v>
      </x:c>
      <x:c r="I63" s="16" t="str">
        <x:v>1200</x:v>
      </x:c>
      <x:c r="J63" s="16" t="str">
        <x:v>D003</x:v>
      </x:c>
      <x:c r="K63" s="16" t="str">
        <x:v>Approved</x:v>
      </x:c>
      <x:c r="L63" s="18" t="n">
        <x:v>46221</x:v>
      </x:c>
      <x:c r="M63" s="16" t="str">
        <x:v>Paid</x:v>
      </x:c>
    </x:row>
    <x:row r="64">
      <x:c r="A64" s="16" t="str">
        <x:v>PI-260062</x:v>
      </x:c>
      <x:c r="B64" s="18" t="n">
        <x:v>46182</x:v>
      </x:c>
      <x:c r="C64" s="16" t="str">
        <x:v>V004</x:v>
      </x:c>
      <x:c r="D64" s="16" t="str"/>
      <x:c r="E64" s="38" t="n">
        <x:v>1</x:v>
      </x:c>
      <x:c r="F64" s="38" t="n">
        <x:v>20425</x:v>
      </x:c>
      <x:c r="G64" s="20" t="n">
        <x:v>0.05</x:v>
      </x:c>
      <x:c r="H64" s="16" t="str">
        <x:v>Expense</x:v>
      </x:c>
      <x:c r="I64" s="16" t="str">
        <x:v>6300</x:v>
      </x:c>
      <x:c r="J64" s="16" t="str">
        <x:v>D003</x:v>
      </x:c>
      <x:c r="K64" s="16" t="str">
        <x:v>Approved</x:v>
      </x:c>
      <x:c r="L64" s="18" t="n">
        <x:v>46212</x:v>
      </x:c>
      <x:c r="M64" s="16" t="str">
        <x:v>Open</x:v>
      </x:c>
    </x:row>
    <x:row r="65">
      <x:c r="A65" s="16" t="str">
        <x:v>PI-260063</x:v>
      </x:c>
      <x:c r="B65" s="18" t="n">
        <x:v>46183</x:v>
      </x:c>
      <x:c r="C65" s="16" t="str">
        <x:v>V003</x:v>
      </x:c>
      <x:c r="D65" s="16" t="str"/>
      <x:c r="E65" s="38" t="n">
        <x:v>1</x:v>
      </x:c>
      <x:c r="F65" s="38" t="n">
        <x:v>4900</x:v>
      </x:c>
      <x:c r="G65" s="20" t="n">
        <x:v>0.05</x:v>
      </x:c>
      <x:c r="H65" s="16" t="str">
        <x:v>Expense</x:v>
      </x:c>
      <x:c r="I65" s="16" t="str">
        <x:v>6400</x:v>
      </x:c>
      <x:c r="J65" s="16" t="str">
        <x:v>D006</x:v>
      </x:c>
      <x:c r="K65" s="16" t="str">
        <x:v>Approved</x:v>
      </x:c>
      <x:c r="L65" s="18" t="n">
        <x:v>46213</x:v>
      </x:c>
      <x:c r="M65" s="16" t="str">
        <x:v>Paid</x:v>
      </x:c>
    </x:row>
    <x:row r="66">
      <x:c r="A66" s="16" t="str">
        <x:v>PI-260064</x:v>
      </x:c>
      <x:c r="B66" s="18" t="n">
        <x:v>46182</x:v>
      </x:c>
      <x:c r="C66" s="16" t="str">
        <x:v>V002</x:v>
      </x:c>
      <x:c r="D66" s="16" t="str"/>
      <x:c r="E66" s="38" t="n">
        <x:v>1</x:v>
      </x:c>
      <x:c r="F66" s="38" t="n">
        <x:v>6743</x:v>
      </x:c>
      <x:c r="G66" s="20" t="n">
        <x:v>0.05</x:v>
      </x:c>
      <x:c r="H66" s="16" t="str">
        <x:v>Expense</x:v>
      </x:c>
      <x:c r="I66" s="16" t="str">
        <x:v>6500</x:v>
      </x:c>
      <x:c r="J66" s="16" t="str">
        <x:v>D003</x:v>
      </x:c>
      <x:c r="K66" s="16" t="str">
        <x:v>Approved</x:v>
      </x:c>
      <x:c r="L66" s="18" t="n">
        <x:v>46212</x:v>
      </x:c>
      <x:c r="M66" s="16" t="str">
        <x:v>Open</x:v>
      </x:c>
    </x:row>
    <x:row r="67">
      <x:c r="A67" s="16" t="str">
        <x:v>PI-260065</x:v>
      </x:c>
      <x:c r="B67" s="18" t="n">
        <x:v>46185</x:v>
      </x:c>
      <x:c r="C67" s="16" t="str">
        <x:v>V007</x:v>
      </x:c>
      <x:c r="D67" s="16" t="str"/>
      <x:c r="E67" s="38" t="n">
        <x:v>1</x:v>
      </x:c>
      <x:c r="F67" s="38" t="n">
        <x:v>14647</x:v>
      </x:c>
      <x:c r="G67" s="20" t="n">
        <x:v>0.05</x:v>
      </x:c>
      <x:c r="H67" s="16" t="str">
        <x:v>Expense</x:v>
      </x:c>
      <x:c r="I67" s="16" t="str">
        <x:v>6200</x:v>
      </x:c>
      <x:c r="J67" s="16" t="str">
        <x:v>D002</x:v>
      </x:c>
      <x:c r="K67" s="16" t="str">
        <x:v>Approved</x:v>
      </x:c>
      <x:c r="L67" s="18" t="n">
        <x:v>46215</x:v>
      </x:c>
      <x:c r="M67" s="16" t="str">
        <x:v>Open</x:v>
      </x:c>
    </x:row>
    <x:row r="68">
      <x:c r="A68" s="16" t="str">
        <x:v>PI-260066</x:v>
      </x:c>
      <x:c r="B68" s="18" t="n">
        <x:v>46178</x:v>
      </x:c>
      <x:c r="C68" s="16" t="str">
        <x:v>V006</x:v>
      </x:c>
      <x:c r="D68" s="16" t="str"/>
      <x:c r="E68" s="38" t="n">
        <x:v>1</x:v>
      </x:c>
      <x:c r="F68" s="38" t="n">
        <x:v>4427</x:v>
      </x:c>
      <x:c r="G68" s="20" t="n">
        <x:v>0.05</x:v>
      </x:c>
      <x:c r="H68" s="16" t="str">
        <x:v>Expense</x:v>
      </x:c>
      <x:c r="I68" s="16" t="str">
        <x:v>6100</x:v>
      </x:c>
      <x:c r="J68" s="16" t="str">
        <x:v>D005</x:v>
      </x:c>
      <x:c r="K68" s="16" t="str">
        <x:v>Approved</x:v>
      </x:c>
      <x:c r="L68" s="18" t="n">
        <x:v>46208</x:v>
      </x:c>
      <x:c r="M68" s="16" t="str">
        <x:v>Open</x:v>
      </x:c>
    </x:row>
    <x:row r="69">
      <x:c r="A69" s="16" t="str">
        <x:v>PI-260067</x:v>
      </x:c>
      <x:c r="B69" s="18" t="n">
        <x:v>46206</x:v>
      </x:c>
      <x:c r="C69" s="16" t="str">
        <x:v>V001</x:v>
      </x:c>
      <x:c r="D69" s="16" t="str">
        <x:v>P001</x:v>
      </x:c>
      <x:c r="E69" s="38" t="n">
        <x:v>759</x:v>
      </x:c>
      <x:c r="F69" s="38" t="n">
        <x:v>21.41</x:v>
      </x:c>
      <x:c r="G69" s="20" t="n">
        <x:v>0.05</x:v>
      </x:c>
      <x:c r="H69" s="16" t="str">
        <x:v>Inventory</x:v>
      </x:c>
      <x:c r="I69" s="16" t="str">
        <x:v>1200</x:v>
      </x:c>
      <x:c r="J69" s="16" t="str">
        <x:v>D003</x:v>
      </x:c>
      <x:c r="K69" s="16" t="str">
        <x:v>Approved</x:v>
      </x:c>
      <x:c r="L69" s="18" t="n">
        <x:v>46236</x:v>
      </x:c>
      <x:c r="M69" s="16" t="str">
        <x:v>Part Paid</x:v>
      </x:c>
    </x:row>
    <x:row r="70">
      <x:c r="A70" s="16" t="str">
        <x:v>PI-260068</x:v>
      </x:c>
      <x:c r="B70" s="18" t="n">
        <x:v>46209</x:v>
      </x:c>
      <x:c r="C70" s="16" t="str">
        <x:v>V001</x:v>
      </x:c>
      <x:c r="D70" s="16" t="str">
        <x:v>P002</x:v>
      </x:c>
      <x:c r="E70" s="38" t="n">
        <x:v>630</x:v>
      </x:c>
      <x:c r="F70" s="38" t="n">
        <x:v>30.94</x:v>
      </x:c>
      <x:c r="G70" s="20" t="n">
        <x:v>0.05</x:v>
      </x:c>
      <x:c r="H70" s="16" t="str">
        <x:v>Inventory</x:v>
      </x:c>
      <x:c r="I70" s="16" t="str">
        <x:v>1200</x:v>
      </x:c>
      <x:c r="J70" s="16" t="str">
        <x:v>D003</x:v>
      </x:c>
      <x:c r="K70" s="16" t="str">
        <x:v>Approved</x:v>
      </x:c>
      <x:c r="L70" s="18" t="n">
        <x:v>46239</x:v>
      </x:c>
      <x:c r="M70" s="16" t="str">
        <x:v>Open</x:v>
      </x:c>
    </x:row>
    <x:row r="71">
      <x:c r="A71" s="16" t="str">
        <x:v>PI-260069</x:v>
      </x:c>
      <x:c r="B71" s="18" t="n">
        <x:v>46212</x:v>
      </x:c>
      <x:c r="C71" s="16" t="str">
        <x:v>V001</x:v>
      </x:c>
      <x:c r="D71" s="16" t="str">
        <x:v>P002</x:v>
      </x:c>
      <x:c r="E71" s="38" t="n">
        <x:v>1425</x:v>
      </x:c>
      <x:c r="F71" s="38" t="n">
        <x:v>31.01</x:v>
      </x:c>
      <x:c r="G71" s="20" t="n">
        <x:v>0.05</x:v>
      </x:c>
      <x:c r="H71" s="16" t="str">
        <x:v>Inventory</x:v>
      </x:c>
      <x:c r="I71" s="16" t="str">
        <x:v>1200</x:v>
      </x:c>
      <x:c r="J71" s="16" t="str">
        <x:v>D003</x:v>
      </x:c>
      <x:c r="K71" s="16" t="str">
        <x:v>Approved</x:v>
      </x:c>
      <x:c r="L71" s="18" t="n">
        <x:v>46242</x:v>
      </x:c>
      <x:c r="M71" s="16" t="str">
        <x:v>Part Paid</x:v>
      </x:c>
    </x:row>
    <x:row r="72">
      <x:c r="A72" s="16" t="str">
        <x:v>PI-260070</x:v>
      </x:c>
      <x:c r="B72" s="18" t="n">
        <x:v>46215</x:v>
      </x:c>
      <x:c r="C72" s="16" t="str">
        <x:v>V001</x:v>
      </x:c>
      <x:c r="D72" s="16" t="str">
        <x:v>P001</x:v>
      </x:c>
      <x:c r="E72" s="38" t="n">
        <x:v>1567</x:v>
      </x:c>
      <x:c r="F72" s="38" t="n">
        <x:v>20.67</x:v>
      </x:c>
      <x:c r="G72" s="20" t="n">
        <x:v>0.05</x:v>
      </x:c>
      <x:c r="H72" s="16" t="str">
        <x:v>Inventory</x:v>
      </x:c>
      <x:c r="I72" s="16" t="str">
        <x:v>1200</x:v>
      </x:c>
      <x:c r="J72" s="16" t="str">
        <x:v>D003</x:v>
      </x:c>
      <x:c r="K72" s="16" t="str">
        <x:v>Approved</x:v>
      </x:c>
      <x:c r="L72" s="18" t="n">
        <x:v>46245</x:v>
      </x:c>
      <x:c r="M72" s="16" t="str">
        <x:v>Part Paid</x:v>
      </x:c>
    </x:row>
    <x:row r="73">
      <x:c r="A73" s="16" t="str">
        <x:v>PI-260071</x:v>
      </x:c>
      <x:c r="B73" s="18" t="n">
        <x:v>46218</x:v>
      </x:c>
      <x:c r="C73" s="16" t="str">
        <x:v>V001</x:v>
      </x:c>
      <x:c r="D73" s="16" t="str">
        <x:v>P001</x:v>
      </x:c>
      <x:c r="E73" s="38" t="n">
        <x:v>624</x:v>
      </x:c>
      <x:c r="F73" s="38" t="n">
        <x:v>21.84</x:v>
      </x:c>
      <x:c r="G73" s="20" t="n">
        <x:v>0.05</x:v>
      </x:c>
      <x:c r="H73" s="16" t="str">
        <x:v>Inventory</x:v>
      </x:c>
      <x:c r="I73" s="16" t="str">
        <x:v>1200</x:v>
      </x:c>
      <x:c r="J73" s="16" t="str">
        <x:v>D003</x:v>
      </x:c>
      <x:c r="K73" s="16" t="str">
        <x:v>Approved</x:v>
      </x:c>
      <x:c r="L73" s="18" t="n">
        <x:v>46248</x:v>
      </x:c>
      <x:c r="M73" s="16" t="str">
        <x:v>Open</x:v>
      </x:c>
    </x:row>
    <x:row r="74">
      <x:c r="A74" s="16" t="str">
        <x:v>PI-260072</x:v>
      </x:c>
      <x:c r="B74" s="18" t="n">
        <x:v>46221</x:v>
      </x:c>
      <x:c r="C74" s="16" t="str">
        <x:v>V001</x:v>
      </x:c>
      <x:c r="D74" s="16" t="str">
        <x:v>P007</x:v>
      </x:c>
      <x:c r="E74" s="38" t="n">
        <x:v>721</x:v>
      </x:c>
      <x:c r="F74" s="38" t="n">
        <x:v>56.96</x:v>
      </x:c>
      <x:c r="G74" s="20" t="n">
        <x:v>0.05</x:v>
      </x:c>
      <x:c r="H74" s="16" t="str">
        <x:v>Inventory</x:v>
      </x:c>
      <x:c r="I74" s="16" t="str">
        <x:v>1200</x:v>
      </x:c>
      <x:c r="J74" s="16" t="str">
        <x:v>D003</x:v>
      </x:c>
      <x:c r="K74" s="16" t="str">
        <x:v>Approved</x:v>
      </x:c>
      <x:c r="L74" s="18" t="n">
        <x:v>46251</x:v>
      </x:c>
      <x:c r="M74" s="16" t="str">
        <x:v>Open</x:v>
      </x:c>
    </x:row>
    <x:row r="75">
      <x:c r="A75" s="16" t="str">
        <x:v>PI-260073</x:v>
      </x:c>
      <x:c r="B75" s="18" t="n">
        <x:v>46210</x:v>
      </x:c>
      <x:c r="C75" s="16" t="str">
        <x:v>V002</x:v>
      </x:c>
      <x:c r="D75" s="16" t="str"/>
      <x:c r="E75" s="38" t="n">
        <x:v>1</x:v>
      </x:c>
      <x:c r="F75" s="38" t="n">
        <x:v>8567</x:v>
      </x:c>
      <x:c r="G75" s="20" t="n">
        <x:v>0.05</x:v>
      </x:c>
      <x:c r="H75" s="16" t="str">
        <x:v>Expense</x:v>
      </x:c>
      <x:c r="I75" s="16" t="str">
        <x:v>6500</x:v>
      </x:c>
      <x:c r="J75" s="16" t="str">
        <x:v>D003</x:v>
      </x:c>
      <x:c r="K75" s="16" t="str">
        <x:v>Approved</x:v>
      </x:c>
      <x:c r="L75" s="18" t="n">
        <x:v>46240</x:v>
      </x:c>
      <x:c r="M75" s="16" t="str">
        <x:v>Open</x:v>
      </x:c>
    </x:row>
    <x:row r="76">
      <x:c r="A76" s="16" t="str">
        <x:v>PI-260074</x:v>
      </x:c>
      <x:c r="B76" s="18" t="n">
        <x:v>46227</x:v>
      </x:c>
      <x:c r="C76" s="16" t="str">
        <x:v>V008</x:v>
      </x:c>
      <x:c r="D76" s="16" t="str"/>
      <x:c r="E76" s="38" t="n">
        <x:v>1</x:v>
      </x:c>
      <x:c r="F76" s="38" t="n">
        <x:v>4093</x:v>
      </x:c>
      <x:c r="G76" s="20" t="n">
        <x:v>0.05</x:v>
      </x:c>
      <x:c r="H76" s="16" t="str">
        <x:v>Expense</x:v>
      </x:c>
      <x:c r="I76" s="16" t="str">
        <x:v>6600</x:v>
      </x:c>
      <x:c r="J76" s="16" t="str">
        <x:v>D004</x:v>
      </x:c>
      <x:c r="K76" s="16" t="str">
        <x:v>Approved</x:v>
      </x:c>
      <x:c r="L76" s="18" t="n">
        <x:v>46257</x:v>
      </x:c>
      <x:c r="M76" s="16" t="str">
        <x:v>Open</x:v>
      </x:c>
    </x:row>
    <x:row r="77">
      <x:c r="A77" s="16" t="str">
        <x:v>PI-260075</x:v>
      </x:c>
      <x:c r="B77" s="18" t="n">
        <x:v>46220</x:v>
      </x:c>
      <x:c r="C77" s="16" t="str">
        <x:v>V004</x:v>
      </x:c>
      <x:c r="D77" s="16" t="str"/>
      <x:c r="E77" s="38" t="n">
        <x:v>1</x:v>
      </x:c>
      <x:c r="F77" s="38" t="n">
        <x:v>20893</x:v>
      </x:c>
      <x:c r="G77" s="20" t="n">
        <x:v>0.05</x:v>
      </x:c>
      <x:c r="H77" s="16" t="str">
        <x:v>Expense</x:v>
      </x:c>
      <x:c r="I77" s="16" t="str">
        <x:v>6300</x:v>
      </x:c>
      <x:c r="J77" s="16" t="str">
        <x:v>D003</x:v>
      </x:c>
      <x:c r="K77" s="16" t="str">
        <x:v>Approved</x:v>
      </x:c>
      <x:c r="L77" s="18" t="n">
        <x:v>46250</x:v>
      </x:c>
      <x:c r="M77" s="16" t="str">
        <x:v>Open</x:v>
      </x:c>
    </x:row>
    <x:row r="78">
      <x:c r="A78" s="16" t="str">
        <x:v>PI-260076</x:v>
      </x:c>
      <x:c r="B78" s="18" t="n">
        <x:v>46222</x:v>
      </x:c>
      <x:c r="C78" s="16" t="str">
        <x:v>V006</x:v>
      </x:c>
      <x:c r="D78" s="16" t="str"/>
      <x:c r="E78" s="38" t="n">
        <x:v>1</x:v>
      </x:c>
      <x:c r="F78" s="38" t="n">
        <x:v>7141</x:v>
      </x:c>
      <x:c r="G78" s="20" t="n">
        <x:v>0.05</x:v>
      </x:c>
      <x:c r="H78" s="16" t="str">
        <x:v>Expense</x:v>
      </x:c>
      <x:c r="I78" s="16" t="str">
        <x:v>6100</x:v>
      </x:c>
      <x:c r="J78" s="16" t="str">
        <x:v>D005</x:v>
      </x:c>
      <x:c r="K78" s="16" t="str">
        <x:v>Approved</x:v>
      </x:c>
      <x:c r="L78" s="18" t="n">
        <x:v>46252</x:v>
      </x:c>
      <x:c r="M78" s="16" t="str">
        <x:v>Open</x:v>
      </x:c>
    </x:row>
    <x:row r="79">
      <x:c r="A79" s="16" t="str">
        <x:v>PI-260077</x:v>
      </x:c>
      <x:c r="B79" s="18" t="n">
        <x:v>46211</x:v>
      </x:c>
      <x:c r="C79" s="16" t="str">
        <x:v>V007</x:v>
      </x:c>
      <x:c r="D79" s="16" t="str"/>
      <x:c r="E79" s="38" t="n">
        <x:v>1</x:v>
      </x:c>
      <x:c r="F79" s="38" t="n">
        <x:v>17994</x:v>
      </x:c>
      <x:c r="G79" s="20" t="n">
        <x:v>0.05</x:v>
      </x:c>
      <x:c r="H79" s="16" t="str">
        <x:v>Expense</x:v>
      </x:c>
      <x:c r="I79" s="16" t="str">
        <x:v>6200</x:v>
      </x:c>
      <x:c r="J79" s="16" t="str">
        <x:v>D002</x:v>
      </x:c>
      <x:c r="K79" s="16" t="str">
        <x:v>Approved</x:v>
      </x:c>
      <x:c r="L79" s="18" t="n">
        <x:v>46241</x:v>
      </x:c>
      <x:c r="M79" s="16" t="str">
        <x:v>Paid</x:v>
      </x:c>
    </x:row>
    <x:row r="80">
      <x:c r="A80" s="16" t="str">
        <x:v>PI-260078</x:v>
      </x:c>
      <x:c r="B80" s="18" t="n">
        <x:v>46237</x:v>
      </x:c>
      <x:c r="C80" s="16" t="str">
        <x:v>V001</x:v>
      </x:c>
      <x:c r="D80" s="16" t="str">
        <x:v>P004</x:v>
      </x:c>
      <x:c r="E80" s="38" t="n">
        <x:v>1380</x:v>
      </x:c>
      <x:c r="F80" s="38" t="n">
        <x:v>24.9</x:v>
      </x:c>
      <x:c r="G80" s="20" t="n">
        <x:v>0.05</x:v>
      </x:c>
      <x:c r="H80" s="16" t="str">
        <x:v>Inventory</x:v>
      </x:c>
      <x:c r="I80" s="16" t="str">
        <x:v>1200</x:v>
      </x:c>
      <x:c r="J80" s="16" t="str">
        <x:v>D003</x:v>
      </x:c>
      <x:c r="K80" s="16" t="str">
        <x:v>Approved</x:v>
      </x:c>
      <x:c r="L80" s="18" t="n">
        <x:v>46267</x:v>
      </x:c>
      <x:c r="M80" s="16" t="str">
        <x:v>Paid</x:v>
      </x:c>
    </x:row>
    <x:row r="81">
      <x:c r="A81" s="16" t="str">
        <x:v>PI-260079</x:v>
      </x:c>
      <x:c r="B81" s="18" t="n">
        <x:v>46240</x:v>
      </x:c>
      <x:c r="C81" s="16" t="str">
        <x:v>V001</x:v>
      </x:c>
      <x:c r="D81" s="16" t="str">
        <x:v>P007</x:v>
      </x:c>
      <x:c r="E81" s="38" t="n">
        <x:v>1194</x:v>
      </x:c>
      <x:c r="F81" s="38" t="n">
        <x:v>58.49</x:v>
      </x:c>
      <x:c r="G81" s="20" t="n">
        <x:v>0.05</x:v>
      </x:c>
      <x:c r="H81" s="16" t="str">
        <x:v>Inventory</x:v>
      </x:c>
      <x:c r="I81" s="16" t="str">
        <x:v>1200</x:v>
      </x:c>
      <x:c r="J81" s="16" t="str">
        <x:v>D003</x:v>
      </x:c>
      <x:c r="K81" s="16" t="str">
        <x:v>Approved</x:v>
      </x:c>
      <x:c r="L81" s="18" t="n">
        <x:v>46270</x:v>
      </x:c>
      <x:c r="M81" s="16" t="str">
        <x:v>Open</x:v>
      </x:c>
    </x:row>
    <x:row r="82">
      <x:c r="A82" s="16" t="str">
        <x:v>PI-260080</x:v>
      </x:c>
      <x:c r="B82" s="18" t="n">
        <x:v>46243</x:v>
      </x:c>
      <x:c r="C82" s="16" t="str">
        <x:v>V001</x:v>
      </x:c>
      <x:c r="D82" s="16" t="str">
        <x:v>P007</x:v>
      </x:c>
      <x:c r="E82" s="38" t="n">
        <x:v>694</x:v>
      </x:c>
      <x:c r="F82" s="38" t="n">
        <x:v>56.15</x:v>
      </x:c>
      <x:c r="G82" s="20" t="n">
        <x:v>0.05</x:v>
      </x:c>
      <x:c r="H82" s="16" t="str">
        <x:v>Inventory</x:v>
      </x:c>
      <x:c r="I82" s="16" t="str">
        <x:v>1200</x:v>
      </x:c>
      <x:c r="J82" s="16" t="str">
        <x:v>D003</x:v>
      </x:c>
      <x:c r="K82" s="16" t="str">
        <x:v>Approved</x:v>
      </x:c>
      <x:c r="L82" s="18" t="n">
        <x:v>46273</x:v>
      </x:c>
      <x:c r="M82" s="16" t="str">
        <x:v>Open</x:v>
      </x:c>
    </x:row>
    <x:row r="83">
      <x:c r="A83" s="16" t="str">
        <x:v>PI-260081</x:v>
      </x:c>
      <x:c r="B83" s="18" t="n">
        <x:v>46246</x:v>
      </x:c>
      <x:c r="C83" s="16" t="str">
        <x:v>V001</x:v>
      </x:c>
      <x:c r="D83" s="16" t="str">
        <x:v>P005</x:v>
      </x:c>
      <x:c r="E83" s="38" t="n">
        <x:v>1266</x:v>
      </x:c>
      <x:c r="F83" s="38" t="n">
        <x:v>40.42</x:v>
      </x:c>
      <x:c r="G83" s="20" t="n">
        <x:v>0.05</x:v>
      </x:c>
      <x:c r="H83" s="16" t="str">
        <x:v>Inventory</x:v>
      </x:c>
      <x:c r="I83" s="16" t="str">
        <x:v>1200</x:v>
      </x:c>
      <x:c r="J83" s="16" t="str">
        <x:v>D003</x:v>
      </x:c>
      <x:c r="K83" s="16" t="str">
        <x:v>Approved</x:v>
      </x:c>
      <x:c r="L83" s="18" t="n">
        <x:v>46276</x:v>
      </x:c>
      <x:c r="M83" s="16" t="str">
        <x:v>Part Paid</x:v>
      </x:c>
    </x:row>
    <x:row r="84">
      <x:c r="A84" s="16" t="str">
        <x:v>PI-260082</x:v>
      </x:c>
      <x:c r="B84" s="18" t="n">
        <x:v>46249</x:v>
      </x:c>
      <x:c r="C84" s="16" t="str">
        <x:v>V001</x:v>
      </x:c>
      <x:c r="D84" s="16" t="str">
        <x:v>P008</x:v>
      </x:c>
      <x:c r="E84" s="38" t="n">
        <x:v>637</x:v>
      </x:c>
      <x:c r="F84" s="38" t="n">
        <x:v>83.19</x:v>
      </x:c>
      <x:c r="G84" s="20" t="n">
        <x:v>0.05</x:v>
      </x:c>
      <x:c r="H84" s="16" t="str">
        <x:v>Inventory</x:v>
      </x:c>
      <x:c r="I84" s="16" t="str">
        <x:v>1200</x:v>
      </x:c>
      <x:c r="J84" s="16" t="str">
        <x:v>D003</x:v>
      </x:c>
      <x:c r="K84" s="16" t="str">
        <x:v>Approved</x:v>
      </x:c>
      <x:c r="L84" s="18" t="n">
        <x:v>46279</x:v>
      </x:c>
      <x:c r="M84" s="16" t="str">
        <x:v>Paid</x:v>
      </x:c>
    </x:row>
    <x:row r="85">
      <x:c r="A85" s="16" t="str">
        <x:v>PI-260083</x:v>
      </x:c>
      <x:c r="B85" s="18" t="n">
        <x:v>46252</x:v>
      </x:c>
      <x:c r="C85" s="16" t="str">
        <x:v>V001</x:v>
      </x:c>
      <x:c r="D85" s="16" t="str">
        <x:v>P002</x:v>
      </x:c>
      <x:c r="E85" s="38" t="n">
        <x:v>1384</x:v>
      </x:c>
      <x:c r="F85" s="38" t="n">
        <x:v>30</x:v>
      </x:c>
      <x:c r="G85" s="20" t="n">
        <x:v>0.05</x:v>
      </x:c>
      <x:c r="H85" s="16" t="str">
        <x:v>Inventory</x:v>
      </x:c>
      <x:c r="I85" s="16" t="str">
        <x:v>1200</x:v>
      </x:c>
      <x:c r="J85" s="16" t="str">
        <x:v>D003</x:v>
      </x:c>
      <x:c r="K85" s="16" t="str">
        <x:v>Approved</x:v>
      </x:c>
      <x:c r="L85" s="18" t="n">
        <x:v>46282</x:v>
      </x:c>
      <x:c r="M85" s="16" t="str">
        <x:v>Part Paid</x:v>
      </x:c>
    </x:row>
    <x:row r="86">
      <x:c r="A86" s="16" t="str">
        <x:v>PI-260084</x:v>
      </x:c>
      <x:c r="B86" s="18" t="n">
        <x:v>46242</x:v>
      </x:c>
      <x:c r="C86" s="16" t="str">
        <x:v>V004</x:v>
      </x:c>
      <x:c r="D86" s="16" t="str"/>
      <x:c r="E86" s="38" t="n">
        <x:v>1</x:v>
      </x:c>
      <x:c r="F86" s="38" t="n">
        <x:v>19365</x:v>
      </x:c>
      <x:c r="G86" s="20" t="n">
        <x:v>0.05</x:v>
      </x:c>
      <x:c r="H86" s="16" t="str">
        <x:v>Expense</x:v>
      </x:c>
      <x:c r="I86" s="16" t="str">
        <x:v>6300</x:v>
      </x:c>
      <x:c r="J86" s="16" t="str">
        <x:v>D003</x:v>
      </x:c>
      <x:c r="K86" s="16" t="str">
        <x:v>Approved</x:v>
      </x:c>
      <x:c r="L86" s="18" t="n">
        <x:v>46272</x:v>
      </x:c>
      <x:c r="M86" s="16" t="str">
        <x:v>Open</x:v>
      </x:c>
    </x:row>
    <x:row r="87">
      <x:c r="A87" s="16" t="str">
        <x:v>PI-260085</x:v>
      </x:c>
      <x:c r="B87" s="18" t="n">
        <x:v>46252</x:v>
      </x:c>
      <x:c r="C87" s="16" t="str">
        <x:v>V003</x:v>
      </x:c>
      <x:c r="D87" s="16" t="str"/>
      <x:c r="E87" s="38" t="n">
        <x:v>1</x:v>
      </x:c>
      <x:c r="F87" s="38" t="n">
        <x:v>11111</x:v>
      </x:c>
      <x:c r="G87" s="20" t="n">
        <x:v>0.05</x:v>
      </x:c>
      <x:c r="H87" s="16" t="str">
        <x:v>Expense</x:v>
      </x:c>
      <x:c r="I87" s="16" t="str">
        <x:v>6400</x:v>
      </x:c>
      <x:c r="J87" s="16" t="str">
        <x:v>D006</x:v>
      </x:c>
      <x:c r="K87" s="16" t="str">
        <x:v>Approved</x:v>
      </x:c>
      <x:c r="L87" s="18" t="n">
        <x:v>46282</x:v>
      </x:c>
      <x:c r="M87" s="16" t="str">
        <x:v>Paid</x:v>
      </x:c>
    </x:row>
    <x:row r="88">
      <x:c r="A88" s="16" t="str">
        <x:v>PI-260086</x:v>
      </x:c>
      <x:c r="B88" s="18" t="n">
        <x:v>46248</x:v>
      </x:c>
      <x:c r="C88" s="16" t="str">
        <x:v>V002</x:v>
      </x:c>
      <x:c r="D88" s="16" t="str"/>
      <x:c r="E88" s="38" t="n">
        <x:v>1</x:v>
      </x:c>
      <x:c r="F88" s="38" t="n">
        <x:v>16337</x:v>
      </x:c>
      <x:c r="G88" s="20" t="n">
        <x:v>0.05</x:v>
      </x:c>
      <x:c r="H88" s="16" t="str">
        <x:v>Expense</x:v>
      </x:c>
      <x:c r="I88" s="16" t="str">
        <x:v>6500</x:v>
      </x:c>
      <x:c r="J88" s="16" t="str">
        <x:v>D003</x:v>
      </x:c>
      <x:c r="K88" s="16" t="str">
        <x:v>Approved</x:v>
      </x:c>
      <x:c r="L88" s="18" t="n">
        <x:v>46278</x:v>
      </x:c>
      <x:c r="M88" s="16" t="str">
        <x:v>Open</x:v>
      </x:c>
    </x:row>
    <x:row r="89">
      <x:c r="A89" s="16" t="str">
        <x:v>PI-260087</x:v>
      </x:c>
      <x:c r="B89" s="18" t="n">
        <x:v>46250</x:v>
      </x:c>
      <x:c r="C89" s="16" t="str">
        <x:v>V008</x:v>
      </x:c>
      <x:c r="D89" s="16" t="str"/>
      <x:c r="E89" s="38" t="n">
        <x:v>1</x:v>
      </x:c>
      <x:c r="F89" s="38" t="n">
        <x:v>1924</x:v>
      </x:c>
      <x:c r="G89" s="20" t="n">
        <x:v>0.05</x:v>
      </x:c>
      <x:c r="H89" s="16" t="str">
        <x:v>Expense</x:v>
      </x:c>
      <x:c r="I89" s="16" t="str">
        <x:v>6600</x:v>
      </x:c>
      <x:c r="J89" s="16" t="str">
        <x:v>D004</x:v>
      </x:c>
      <x:c r="K89" s="16" t="str">
        <x:v>Approved</x:v>
      </x:c>
      <x:c r="L89" s="18" t="n">
        <x:v>46280</x:v>
      </x:c>
      <x:c r="M89" s="16" t="str">
        <x:v>Paid</x:v>
      </x:c>
    </x:row>
    <x:row r="90">
      <x:c r="A90" s="16" t="str">
        <x:v>PI-260088</x:v>
      </x:c>
      <x:c r="B90" s="18" t="n">
        <x:v>46243</x:v>
      </x:c>
      <x:c r="C90" s="16" t="str">
        <x:v>V007</x:v>
      </x:c>
      <x:c r="D90" s="16" t="str"/>
      <x:c r="E90" s="38" t="n">
        <x:v>1</x:v>
      </x:c>
      <x:c r="F90" s="38" t="n">
        <x:v>15759</x:v>
      </x:c>
      <x:c r="G90" s="20" t="n">
        <x:v>0.05</x:v>
      </x:c>
      <x:c r="H90" s="16" t="str">
        <x:v>Expense</x:v>
      </x:c>
      <x:c r="I90" s="16" t="str">
        <x:v>6200</x:v>
      </x:c>
      <x:c r="J90" s="16" t="str">
        <x:v>D002</x:v>
      </x:c>
      <x:c r="K90" s="16" t="str">
        <x:v>Approved</x:v>
      </x:c>
      <x:c r="L90" s="18" t="n">
        <x:v>46273</x:v>
      </x:c>
      <x:c r="M90" s="16" t="str">
        <x:v>Open</x:v>
      </x:c>
    </x:row>
    <x:row r="91">
      <x:c r="A91" s="16" t="str">
        <x:v>PI-260089</x:v>
      </x:c>
      <x:c r="B91" s="18" t="n">
        <x:v>46268</x:v>
      </x:c>
      <x:c r="C91" s="16" t="str">
        <x:v>V001</x:v>
      </x:c>
      <x:c r="D91" s="16" t="str">
        <x:v>P004</x:v>
      </x:c>
      <x:c r="E91" s="38" t="n">
        <x:v>721</x:v>
      </x:c>
      <x:c r="F91" s="38" t="n">
        <x:v>24.7</x:v>
      </x:c>
      <x:c r="G91" s="20" t="n">
        <x:v>0.05</x:v>
      </x:c>
      <x:c r="H91" s="16" t="str">
        <x:v>Inventory</x:v>
      </x:c>
      <x:c r="I91" s="16" t="str">
        <x:v>1200</x:v>
      </x:c>
      <x:c r="J91" s="16" t="str">
        <x:v>D003</x:v>
      </x:c>
      <x:c r="K91" s="16" t="str">
        <x:v>Approved</x:v>
      </x:c>
      <x:c r="L91" s="18" t="n">
        <x:v>46298</x:v>
      </x:c>
      <x:c r="M91" s="16" t="str">
        <x:v>Part Paid</x:v>
      </x:c>
    </x:row>
    <x:row r="92">
      <x:c r="A92" s="16" t="str">
        <x:v>PI-260090</x:v>
      </x:c>
      <x:c r="B92" s="18" t="n">
        <x:v>46271</x:v>
      </x:c>
      <x:c r="C92" s="16" t="str">
        <x:v>V001</x:v>
      </x:c>
      <x:c r="D92" s="16" t="str">
        <x:v>P006</x:v>
      </x:c>
      <x:c r="E92" s="38" t="n">
        <x:v>735</x:v>
      </x:c>
      <x:c r="F92" s="38" t="n">
        <x:v>11.23</x:v>
      </x:c>
      <x:c r="G92" s="20" t="n">
        <x:v>0.05</x:v>
      </x:c>
      <x:c r="H92" s="16" t="str">
        <x:v>Inventory</x:v>
      </x:c>
      <x:c r="I92" s="16" t="str">
        <x:v>1200</x:v>
      </x:c>
      <x:c r="J92" s="16" t="str">
        <x:v>D003</x:v>
      </x:c>
      <x:c r="K92" s="16" t="str">
        <x:v>Approved</x:v>
      </x:c>
      <x:c r="L92" s="18" t="n">
        <x:v>46301</x:v>
      </x:c>
      <x:c r="M92" s="16" t="str">
        <x:v>Part Paid</x:v>
      </x:c>
    </x:row>
    <x:row r="93">
      <x:c r="A93" s="16" t="str">
        <x:v>PI-260091</x:v>
      </x:c>
      <x:c r="B93" s="18" t="n">
        <x:v>46274</x:v>
      </x:c>
      <x:c r="C93" s="16" t="str">
        <x:v>V001</x:v>
      </x:c>
      <x:c r="D93" s="16" t="str">
        <x:v>P004</x:v>
      </x:c>
      <x:c r="E93" s="38" t="n">
        <x:v>1378</x:v>
      </x:c>
      <x:c r="F93" s="38" t="n">
        <x:v>25.69</x:v>
      </x:c>
      <x:c r="G93" s="20" t="n">
        <x:v>0.05</x:v>
      </x:c>
      <x:c r="H93" s="16" t="str">
        <x:v>Inventory</x:v>
      </x:c>
      <x:c r="I93" s="16" t="str">
        <x:v>1200</x:v>
      </x:c>
      <x:c r="J93" s="16" t="str">
        <x:v>D003</x:v>
      </x:c>
      <x:c r="K93" s="16" t="str">
        <x:v>Approved</x:v>
      </x:c>
      <x:c r="L93" s="18" t="n">
        <x:v>46304</x:v>
      </x:c>
      <x:c r="M93" s="16" t="str">
        <x:v>Part Paid</x:v>
      </x:c>
    </x:row>
    <x:row r="94">
      <x:c r="A94" s="16" t="str">
        <x:v>PI-260092</x:v>
      </x:c>
      <x:c r="B94" s="18" t="n">
        <x:v>46277</x:v>
      </x:c>
      <x:c r="C94" s="16" t="str">
        <x:v>V001</x:v>
      </x:c>
      <x:c r="D94" s="16" t="str">
        <x:v>P001</x:v>
      </x:c>
      <x:c r="E94" s="38" t="n">
        <x:v>1747</x:v>
      </x:c>
      <x:c r="F94" s="38" t="n">
        <x:v>21.72</x:v>
      </x:c>
      <x:c r="G94" s="20" t="n">
        <x:v>0.05</x:v>
      </x:c>
      <x:c r="H94" s="16" t="str">
        <x:v>Inventory</x:v>
      </x:c>
      <x:c r="I94" s="16" t="str">
        <x:v>1200</x:v>
      </x:c>
      <x:c r="J94" s="16" t="str">
        <x:v>D003</x:v>
      </x:c>
      <x:c r="K94" s="16" t="str">
        <x:v>Approved</x:v>
      </x:c>
      <x:c r="L94" s="18" t="n">
        <x:v>46307</x:v>
      </x:c>
      <x:c r="M94" s="16" t="str">
        <x:v>Part Paid</x:v>
      </x:c>
    </x:row>
    <x:row r="95">
      <x:c r="A95" s="16" t="str">
        <x:v>PI-260093</x:v>
      </x:c>
      <x:c r="B95" s="18" t="n">
        <x:v>46280</x:v>
      </x:c>
      <x:c r="C95" s="16" t="str">
        <x:v>V001</x:v>
      </x:c>
      <x:c r="D95" s="16" t="str">
        <x:v>P005</x:v>
      </x:c>
      <x:c r="E95" s="38" t="n">
        <x:v>559</x:v>
      </x:c>
      <x:c r="F95" s="38" t="n">
        <x:v>38</x:v>
      </x:c>
      <x:c r="G95" s="20" t="n">
        <x:v>0.05</x:v>
      </x:c>
      <x:c r="H95" s="16" t="str">
        <x:v>Inventory</x:v>
      </x:c>
      <x:c r="I95" s="16" t="str">
        <x:v>1200</x:v>
      </x:c>
      <x:c r="J95" s="16" t="str">
        <x:v>D003</x:v>
      </x:c>
      <x:c r="K95" s="16" t="str">
        <x:v>Approved</x:v>
      </x:c>
      <x:c r="L95" s="18" t="n">
        <x:v>46310</x:v>
      </x:c>
      <x:c r="M95" s="16" t="str">
        <x:v>Part Paid</x:v>
      </x:c>
    </x:row>
    <x:row r="96">
      <x:c r="A96" s="16" t="str">
        <x:v>PI-260094</x:v>
      </x:c>
      <x:c r="B96" s="18" t="n">
        <x:v>46283</x:v>
      </x:c>
      <x:c r="C96" s="16" t="str">
        <x:v>V001</x:v>
      </x:c>
      <x:c r="D96" s="16" t="str">
        <x:v>P005</x:v>
      </x:c>
      <x:c r="E96" s="38" t="n">
        <x:v>1195</x:v>
      </x:c>
      <x:c r="F96" s="38" t="n">
        <x:v>38.54</x:v>
      </x:c>
      <x:c r="G96" s="20" t="n">
        <x:v>0.05</x:v>
      </x:c>
      <x:c r="H96" s="16" t="str">
        <x:v>Inventory</x:v>
      </x:c>
      <x:c r="I96" s="16" t="str">
        <x:v>1200</x:v>
      </x:c>
      <x:c r="J96" s="16" t="str">
        <x:v>D003</x:v>
      </x:c>
      <x:c r="K96" s="16" t="str">
        <x:v>Approved</x:v>
      </x:c>
      <x:c r="L96" s="18" t="n">
        <x:v>46313</x:v>
      </x:c>
      <x:c r="M96" s="16" t="str">
        <x:v>Paid</x:v>
      </x:c>
    </x:row>
    <x:row r="97">
      <x:c r="A97" s="16" t="str">
        <x:v>PI-260095</x:v>
      </x:c>
      <x:c r="B97" s="18" t="n">
        <x:v>46290</x:v>
      </x:c>
      <x:c r="C97" s="16" t="str">
        <x:v>V003</x:v>
      </x:c>
      <x:c r="D97" s="16" t="str"/>
      <x:c r="E97" s="38" t="n">
        <x:v>1</x:v>
      </x:c>
      <x:c r="F97" s="38" t="n">
        <x:v>11961</x:v>
      </x:c>
      <x:c r="G97" s="20" t="n">
        <x:v>0.05</x:v>
      </x:c>
      <x:c r="H97" s="16" t="str">
        <x:v>Expense</x:v>
      </x:c>
      <x:c r="I97" s="16" t="str">
        <x:v>6400</x:v>
      </x:c>
      <x:c r="J97" s="16" t="str">
        <x:v>D006</x:v>
      </x:c>
      <x:c r="K97" s="16" t="str">
        <x:v>Approved</x:v>
      </x:c>
      <x:c r="L97" s="18" t="n">
        <x:v>46320</x:v>
      </x:c>
      <x:c r="M97" s="16" t="str">
        <x:v>Paid</x:v>
      </x:c>
    </x:row>
    <x:row r="98">
      <x:c r="A98" s="16" t="str">
        <x:v>PI-260096</x:v>
      </x:c>
      <x:c r="B98" s="18" t="n">
        <x:v>46272</x:v>
      </x:c>
      <x:c r="C98" s="16" t="str">
        <x:v>V007</x:v>
      </x:c>
      <x:c r="D98" s="16" t="str"/>
      <x:c r="E98" s="38" t="n">
        <x:v>1</x:v>
      </x:c>
      <x:c r="F98" s="38" t="n">
        <x:v>17224</x:v>
      </x:c>
      <x:c r="G98" s="20" t="n">
        <x:v>0.05</x:v>
      </x:c>
      <x:c r="H98" s="16" t="str">
        <x:v>Expense</x:v>
      </x:c>
      <x:c r="I98" s="16" t="str">
        <x:v>6200</x:v>
      </x:c>
      <x:c r="J98" s="16" t="str">
        <x:v>D002</x:v>
      </x:c>
      <x:c r="K98" s="16" t="str">
        <x:v>Approved</x:v>
      </x:c>
      <x:c r="L98" s="18" t="n">
        <x:v>46302</x:v>
      </x:c>
      <x:c r="M98" s="16" t="str">
        <x:v>Paid</x:v>
      </x:c>
    </x:row>
    <x:row r="99">
      <x:c r="A99" s="16" t="str">
        <x:v>PI-260097</x:v>
      </x:c>
      <x:c r="B99" s="18" t="n">
        <x:v>46282</x:v>
      </x:c>
      <x:c r="C99" s="16" t="str">
        <x:v>V006</x:v>
      </x:c>
      <x:c r="D99" s="16" t="str"/>
      <x:c r="E99" s="38" t="n">
        <x:v>1</x:v>
      </x:c>
      <x:c r="F99" s="38" t="n">
        <x:v>6439</x:v>
      </x:c>
      <x:c r="G99" s="20" t="n">
        <x:v>0.05</x:v>
      </x:c>
      <x:c r="H99" s="16" t="str">
        <x:v>Expense</x:v>
      </x:c>
      <x:c r="I99" s="16" t="str">
        <x:v>6100</x:v>
      </x:c>
      <x:c r="J99" s="16" t="str">
        <x:v>D005</x:v>
      </x:c>
      <x:c r="K99" s="16" t="str">
        <x:v>Approved</x:v>
      </x:c>
      <x:c r="L99" s="18" t="n">
        <x:v>46312</x:v>
      </x:c>
      <x:c r="M99" s="16" t="str">
        <x:v>Open</x:v>
      </x:c>
    </x:row>
    <x:row r="100">
      <x:c r="A100" s="16" t="str">
        <x:v>PI-260098</x:v>
      </x:c>
      <x:c r="B100" s="18" t="n">
        <x:v>46280</x:v>
      </x:c>
      <x:c r="C100" s="16" t="str">
        <x:v>V002</x:v>
      </x:c>
      <x:c r="D100" s="16" t="str"/>
      <x:c r="E100" s="38" t="n">
        <x:v>1</x:v>
      </x:c>
      <x:c r="F100" s="38" t="n">
        <x:v>9078</x:v>
      </x:c>
      <x:c r="G100" s="20" t="n">
        <x:v>0.05</x:v>
      </x:c>
      <x:c r="H100" s="16" t="str">
        <x:v>Expense</x:v>
      </x:c>
      <x:c r="I100" s="16" t="str">
        <x:v>6500</x:v>
      </x:c>
      <x:c r="J100" s="16" t="str">
        <x:v>D003</x:v>
      </x:c>
      <x:c r="K100" s="16" t="str">
        <x:v>Approved</x:v>
      </x:c>
      <x:c r="L100" s="18" t="n">
        <x:v>46310</x:v>
      </x:c>
      <x:c r="M100" s="16" t="str">
        <x:v>Open</x:v>
      </x:c>
    </x:row>
    <x:row r="101">
      <x:c r="A101" s="16" t="str">
        <x:v>PI-260099</x:v>
      </x:c>
      <x:c r="B101" s="18" t="n">
        <x:v>46279</x:v>
      </x:c>
      <x:c r="C101" s="16" t="str">
        <x:v>V004</x:v>
      </x:c>
      <x:c r="D101" s="16" t="str"/>
      <x:c r="E101" s="16" t="n">
        <x:v>1</x:v>
      </x:c>
      <x:c r="F101" s="16" t="n">
        <x:v>21911</x:v>
      </x:c>
      <x:c r="G101" s="16" t="n">
        <x:v>0.05</x:v>
      </x:c>
      <x:c r="H101" s="16" t="str">
        <x:v>Expense</x:v>
      </x:c>
      <x:c r="I101" s="16" t="str">
        <x:v>6300</x:v>
      </x:c>
      <x:c r="J101" s="16" t="str">
        <x:v>D003</x:v>
      </x:c>
      <x:c r="K101" s="16" t="str">
        <x:v>Approved</x:v>
      </x:c>
      <x:c r="L101" s="18" t="n">
        <x:v>46309</x:v>
      </x:c>
      <x:c r="M101" s="16" t="str">
        <x:v>Open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79ec4387250a4aa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</x:cols>
  <x:sheetData>
    <x:row r="1">
      <x:c r="A1" s="70" t="str">
        <x:v>TXN_Customer_Receipts</x:v>
      </x:c>
    </x:row>
    <x:row r="2">
      <x:c r="A2" s="26" t="str">
        <x:v>Receipt_ID</x:v>
      </x:c>
      <x:c r="B2" s="26" t="str">
        <x:v>Receipt_Date</x:v>
      </x:c>
      <x:c r="C2" s="26" t="str">
        <x:v>Customer_ID</x:v>
      </x:c>
      <x:c r="D2" s="26" t="str">
        <x:v>Invoice_ID</x:v>
      </x:c>
      <x:c r="E2" s="26" t="str">
        <x:v>Amount_USD</x:v>
      </x:c>
      <x:c r="F2" s="26" t="str">
        <x:v>Method</x:v>
      </x:c>
      <x:c r="G2" s="26" t="str">
        <x:v>Approval_Status</x:v>
      </x:c>
    </x:row>
    <x:row r="3">
      <x:c r="A3" s="16" t="str">
        <x:v>RC-260001</x:v>
      </x:c>
      <x:c r="B3" s="18" t="n">
        <x:v>46054</x:v>
      </x:c>
      <x:c r="C3" s="16" t="str">
        <x:v>C002</x:v>
      </x:c>
      <x:c r="D3" s="16" t="str">
        <x:v>SI-260001</x:v>
      </x:c>
      <x:c r="E3" s="42" t="n">
        <x:v>30366.35</x:v>
      </x:c>
      <x:c r="F3" s="16" t="str">
        <x:v>Bank Transfer</x:v>
      </x:c>
      <x:c r="G3" s="16" t="str">
        <x:v>Approved</x:v>
      </x:c>
    </x:row>
    <x:row r="4">
      <x:c r="A4" s="16" t="str">
        <x:v>RC-260002</x:v>
      </x:c>
      <x:c r="B4" s="18" t="n">
        <x:v>46070</x:v>
      </x:c>
      <x:c r="C4" s="16" t="str">
        <x:v>C003</x:v>
      </x:c>
      <x:c r="D4" s="16" t="str">
        <x:v>SI-260002</x:v>
      </x:c>
      <x:c r="E4" s="42" t="n">
        <x:v>45774.58</x:v>
      </x:c>
      <x:c r="F4" s="16" t="str">
        <x:v>Bank Transfer</x:v>
      </x:c>
      <x:c r="G4" s="16" t="str">
        <x:v>Approved</x:v>
      </x:c>
    </x:row>
    <x:row r="5">
      <x:c r="A5" s="16" t="str">
        <x:v>RC-260003</x:v>
      </x:c>
      <x:c r="B5" s="18" t="n">
        <x:v>46056</x:v>
      </x:c>
      <x:c r="C5" s="16" t="str">
        <x:v>C010</x:v>
      </x:c>
      <x:c r="D5" s="16" t="str">
        <x:v>SI-260003</x:v>
      </x:c>
      <x:c r="E5" s="42" t="n">
        <x:v>10754.52</x:v>
      </x:c>
      <x:c r="F5" s="16" t="str">
        <x:v>Bank Transfer</x:v>
      </x:c>
      <x:c r="G5" s="16" t="str">
        <x:v>Approved</x:v>
      </x:c>
    </x:row>
    <x:row r="6">
      <x:c r="A6" s="16" t="str">
        <x:v>RC-260004</x:v>
      </x:c>
      <x:c r="B6" s="18" t="n">
        <x:v>46058</x:v>
      </x:c>
      <x:c r="C6" s="16" t="str">
        <x:v>C004</x:v>
      </x:c>
      <x:c r="D6" s="16" t="str">
        <x:v>SI-260005</x:v>
      </x:c>
      <x:c r="E6" s="42" t="n">
        <x:v>102430.53</x:v>
      </x:c>
      <x:c r="F6" s="16" t="str">
        <x:v>Bank Transfer</x:v>
      </x:c>
      <x:c r="G6" s="16" t="str">
        <x:v>Approved</x:v>
      </x:c>
    </x:row>
    <x:row r="7">
      <x:c r="A7" s="16" t="str">
        <x:v>RC-260005</x:v>
      </x:c>
      <x:c r="B7" s="18" t="n">
        <x:v>46074</x:v>
      </x:c>
      <x:c r="C7" s="16" t="str">
        <x:v>C003</x:v>
      </x:c>
      <x:c r="D7" s="16" t="str">
        <x:v>SI-260006</x:v>
      </x:c>
      <x:c r="E7" s="42" t="n">
        <x:v>42054.85</x:v>
      </x:c>
      <x:c r="F7" s="16" t="str">
        <x:v>Bank Transfer</x:v>
      </x:c>
      <x:c r="G7" s="16" t="str">
        <x:v>Approved</x:v>
      </x:c>
    </x:row>
    <x:row r="8">
      <x:c r="A8" s="16" t="str">
        <x:v>RC-260006</x:v>
      </x:c>
      <x:c r="B8" s="18" t="n">
        <x:v>46060</x:v>
      </x:c>
      <x:c r="C8" s="16" t="str">
        <x:v>C006</x:v>
      </x:c>
      <x:c r="D8" s="16" t="str">
        <x:v>SI-260007</x:v>
      </x:c>
      <x:c r="E8" s="42" t="n">
        <x:v>6600.76</x:v>
      </x:c>
      <x:c r="F8" s="16" t="str">
        <x:v>Bank Transfer</x:v>
      </x:c>
      <x:c r="G8" s="16" t="str">
        <x:v>Approved</x:v>
      </x:c>
    </x:row>
    <x:row r="9">
      <x:c r="A9" s="16" t="str">
        <x:v>RC-260007</x:v>
      </x:c>
      <x:c r="B9" s="18" t="n">
        <x:v>46061</x:v>
      </x:c>
      <x:c r="C9" s="16" t="str">
        <x:v>C006</x:v>
      </x:c>
      <x:c r="D9" s="16" t="str">
        <x:v>SI-260008</x:v>
      </x:c>
      <x:c r="E9" s="42" t="n">
        <x:v>9081.45</x:v>
      </x:c>
      <x:c r="F9" s="16" t="str">
        <x:v>Bank Transfer</x:v>
      </x:c>
      <x:c r="G9" s="16" t="str">
        <x:v>Approved</x:v>
      </x:c>
    </x:row>
    <x:row r="10">
      <x:c r="A10" s="16" t="str">
        <x:v>RC-260008</x:v>
      </x:c>
      <x:c r="B10" s="18" t="n">
        <x:v>46062</x:v>
      </x:c>
      <x:c r="C10" s="16" t="str">
        <x:v>C007</x:v>
      </x:c>
      <x:c r="D10" s="16" t="str">
        <x:v>SI-260009</x:v>
      </x:c>
      <x:c r="E10" s="42" t="n">
        <x:v>21200.82</x:v>
      </x:c>
      <x:c r="F10" s="16" t="str">
        <x:v>Bank Transfer</x:v>
      </x:c>
      <x:c r="G10" s="16" t="str">
        <x:v>Approved</x:v>
      </x:c>
    </x:row>
    <x:row r="11">
      <x:c r="A11" s="16" t="str">
        <x:v>RC-260009</x:v>
      </x:c>
      <x:c r="B11" s="18" t="n">
        <x:v>46063</x:v>
      </x:c>
      <x:c r="C11" s="16" t="str">
        <x:v>C010</x:v>
      </x:c>
      <x:c r="D11" s="16" t="str">
        <x:v>SI-260010</x:v>
      </x:c>
      <x:c r="E11" s="42" t="n">
        <x:v>34129.81</x:v>
      </x:c>
      <x:c r="F11" s="16" t="str">
        <x:v>Bank Transfer</x:v>
      </x:c>
      <x:c r="G11" s="16" t="str">
        <x:v>Approved</x:v>
      </x:c>
    </x:row>
    <x:row r="12">
      <x:c r="A12" s="16" t="str">
        <x:v>RC-260010</x:v>
      </x:c>
      <x:c r="B12" s="18" t="n">
        <x:v>46080</x:v>
      </x:c>
      <x:c r="C12" s="16" t="str">
        <x:v>C005</x:v>
      </x:c>
      <x:c r="D12" s="16" t="str">
        <x:v>SI-260012</x:v>
      </x:c>
      <x:c r="E12" s="42" t="n">
        <x:v>115043.99</x:v>
      </x:c>
      <x:c r="F12" s="16" t="str">
        <x:v>Bank Transfer</x:v>
      </x:c>
      <x:c r="G12" s="16" t="str">
        <x:v>Approved</x:v>
      </x:c>
    </x:row>
    <x:row r="13">
      <x:c r="A13" s="16" t="str">
        <x:v>RC-260011</x:v>
      </x:c>
      <x:c r="B13" s="18" t="n">
        <x:v>46066</x:v>
      </x:c>
      <x:c r="C13" s="16" t="str">
        <x:v>C006</x:v>
      </x:c>
      <x:c r="D13" s="16" t="str">
        <x:v>SI-260013</x:v>
      </x:c>
      <x:c r="E13" s="42" t="n">
        <x:v>5670.82</x:v>
      </x:c>
      <x:c r="F13" s="16" t="str">
        <x:v>Bank Transfer</x:v>
      </x:c>
      <x:c r="G13" s="16" t="str">
        <x:v>Approved</x:v>
      </x:c>
    </x:row>
    <x:row r="14">
      <x:c r="A14" s="16" t="str">
        <x:v>RC-260012</x:v>
      </x:c>
      <x:c r="B14" s="18" t="n">
        <x:v>46067</x:v>
      </x:c>
      <x:c r="C14" s="16" t="str">
        <x:v>C010</x:v>
      </x:c>
      <x:c r="D14" s="16" t="str">
        <x:v>SI-260014</x:v>
      </x:c>
      <x:c r="E14" s="42" t="n">
        <x:v>16176.15</x:v>
      </x:c>
      <x:c r="F14" s="16" t="str">
        <x:v>Bank Transfer</x:v>
      </x:c>
      <x:c r="G14" s="16" t="str">
        <x:v>Approved</x:v>
      </x:c>
    </x:row>
    <x:row r="15">
      <x:c r="A15" s="16" t="str">
        <x:v>RC-260013</x:v>
      </x:c>
      <x:c r="B15" s="18" t="n">
        <x:v>46053</x:v>
      </x:c>
      <x:c r="C15" s="16" t="str">
        <x:v>C008</x:v>
      </x:c>
      <x:c r="D15" s="16" t="str">
        <x:v>SI-260015</x:v>
      </x:c>
      <x:c r="E15" s="42" t="n">
        <x:v>37252.91</x:v>
      </x:c>
      <x:c r="F15" s="16" t="str">
        <x:v>Bank Transfer</x:v>
      </x:c>
      <x:c r="G15" s="16" t="str">
        <x:v>Approved</x:v>
      </x:c>
    </x:row>
    <x:row r="16">
      <x:c r="A16" s="16" t="str">
        <x:v>RC-260014</x:v>
      </x:c>
      <x:c r="B16" s="18" t="n">
        <x:v>46069</x:v>
      </x:c>
      <x:c r="C16" s="16" t="str">
        <x:v>C006</x:v>
      </x:c>
      <x:c r="D16" s="16" t="str">
        <x:v>SI-260016</x:v>
      </x:c>
      <x:c r="E16" s="42" t="n">
        <x:v>4581.62</x:v>
      </x:c>
      <x:c r="F16" s="16" t="str">
        <x:v>Bank Transfer</x:v>
      </x:c>
      <x:c r="G16" s="16" t="str">
        <x:v>Approved</x:v>
      </x:c>
    </x:row>
    <x:row r="17">
      <x:c r="A17" s="16" t="str">
        <x:v>RC-260015</x:v>
      </x:c>
      <x:c r="B17" s="18" t="n">
        <x:v>46070</x:v>
      </x:c>
      <x:c r="C17" s="16" t="str">
        <x:v>C007</x:v>
      </x:c>
      <x:c r="D17" s="16" t="str">
        <x:v>SI-260017</x:v>
      </x:c>
      <x:c r="E17" s="42" t="n">
        <x:v>3812.5</x:v>
      </x:c>
      <x:c r="F17" s="16" t="str">
        <x:v>Bank Transfer</x:v>
      </x:c>
      <x:c r="G17" s="16" t="str">
        <x:v>Approved</x:v>
      </x:c>
    </x:row>
    <x:row r="18">
      <x:c r="A18" s="16" t="str">
        <x:v>RC-260016</x:v>
      </x:c>
      <x:c r="B18" s="18" t="n">
        <x:v>46087</x:v>
      </x:c>
      <x:c r="C18" s="16" t="str">
        <x:v>C003</x:v>
      </x:c>
      <x:c r="D18" s="16" t="str">
        <x:v>SI-260019</x:v>
      </x:c>
      <x:c r="E18" s="42" t="n">
        <x:v>6429.33</x:v>
      </x:c>
      <x:c r="F18" s="16" t="str">
        <x:v>Bank Transfer</x:v>
      </x:c>
      <x:c r="G18" s="16" t="str">
        <x:v>Approved</x:v>
      </x:c>
    </x:row>
    <x:row r="19">
      <x:c r="A19" s="16" t="str">
        <x:v>RC-260017</x:v>
      </x:c>
      <x:c r="B19" s="18" t="n">
        <x:v>46073</x:v>
      </x:c>
      <x:c r="C19" s="16" t="str">
        <x:v>C010</x:v>
      </x:c>
      <x:c r="D19" s="16" t="str">
        <x:v>SI-260020</x:v>
      </x:c>
      <x:c r="E19" s="42" t="n">
        <x:v>67253.52</x:v>
      </x:c>
      <x:c r="F19" s="16" t="str">
        <x:v>Bank Transfer</x:v>
      </x:c>
      <x:c r="G19" s="16" t="str">
        <x:v>Approved</x:v>
      </x:c>
    </x:row>
    <x:row r="20">
      <x:c r="A20" s="16" t="str">
        <x:v>RC-260018</x:v>
      </x:c>
      <x:c r="B20" s="18" t="n">
        <x:v>46100</x:v>
      </x:c>
      <x:c r="C20" s="16" t="str">
        <x:v>C003</x:v>
      </x:c>
      <x:c r="D20" s="16" t="str">
        <x:v>SI-260021</x:v>
      </x:c>
      <x:c r="E20" s="42" t="n">
        <x:v>27076.75</x:v>
      </x:c>
      <x:c r="F20" s="16" t="str">
        <x:v>Bank Transfer</x:v>
      </x:c>
      <x:c r="G20" s="16" t="str">
        <x:v>Approved</x:v>
      </x:c>
    </x:row>
    <x:row r="21">
      <x:c r="A21" s="16" t="str">
        <x:v>RC-260019</x:v>
      </x:c>
      <x:c r="B21" s="18" t="n">
        <x:v>46101</x:v>
      </x:c>
      <x:c r="C21" s="16" t="str">
        <x:v>C003</x:v>
      </x:c>
      <x:c r="D21" s="16" t="str">
        <x:v>SI-260022</x:v>
      </x:c>
      <x:c r="E21" s="42" t="n">
        <x:v>22930.33</x:v>
      </x:c>
      <x:c r="F21" s="16" t="str">
        <x:v>Bank Transfer</x:v>
      </x:c>
      <x:c r="G21" s="16" t="str">
        <x:v>Approved</x:v>
      </x:c>
    </x:row>
    <x:row r="22">
      <x:c r="A22" s="16" t="str">
        <x:v>RC-260020</x:v>
      </x:c>
      <x:c r="B22" s="18" t="n">
        <x:v>46087</x:v>
      </x:c>
      <x:c r="C22" s="16" t="str">
        <x:v>C007</x:v>
      </x:c>
      <x:c r="D22" s="16" t="str">
        <x:v>SI-260023</x:v>
      </x:c>
      <x:c r="E22" s="42" t="n">
        <x:v>43141.32</x:v>
      </x:c>
      <x:c r="F22" s="16" t="str">
        <x:v>Bank Transfer</x:v>
      </x:c>
      <x:c r="G22" s="16" t="str">
        <x:v>Approved</x:v>
      </x:c>
    </x:row>
    <x:row r="23">
      <x:c r="A23" s="16" t="str">
        <x:v>RC-260021</x:v>
      </x:c>
      <x:c r="B23" s="18" t="n">
        <x:v>46103</x:v>
      </x:c>
      <x:c r="C23" s="16" t="str">
        <x:v>C009</x:v>
      </x:c>
      <x:c r="D23" s="16" t="str">
        <x:v>SI-260024</x:v>
      </x:c>
      <x:c r="E23" s="42" t="n">
        <x:v>18108.61</x:v>
      </x:c>
      <x:c r="F23" s="16" t="str">
        <x:v>Bank Transfer</x:v>
      </x:c>
      <x:c r="G23" s="16" t="str">
        <x:v>Approved</x:v>
      </x:c>
    </x:row>
    <x:row r="24">
      <x:c r="A24" s="16" t="str">
        <x:v>RC-260022</x:v>
      </x:c>
      <x:c r="B24" s="18" t="n">
        <x:v>46090</x:v>
      </x:c>
      <x:c r="C24" s="16" t="str">
        <x:v>C001</x:v>
      </x:c>
      <x:c r="D24" s="16" t="str">
        <x:v>SI-260026</x:v>
      </x:c>
      <x:c r="E24" s="42" t="n">
        <x:v>43474.7</x:v>
      </x:c>
      <x:c r="F24" s="16" t="str">
        <x:v>Bank Transfer</x:v>
      </x:c>
      <x:c r="G24" s="16" t="str">
        <x:v>Approved</x:v>
      </x:c>
    </x:row>
    <x:row r="25">
      <x:c r="A25" s="16" t="str">
        <x:v>RC-260023</x:v>
      </x:c>
      <x:c r="B25" s="18" t="n">
        <x:v>46106</x:v>
      </x:c>
      <x:c r="C25" s="16" t="str">
        <x:v>C005</x:v>
      </x:c>
      <x:c r="D25" s="16" t="str">
        <x:v>SI-260027</x:v>
      </x:c>
      <x:c r="E25" s="42" t="n">
        <x:v>10340.69</x:v>
      </x:c>
      <x:c r="F25" s="16" t="str">
        <x:v>Bank Transfer</x:v>
      </x:c>
      <x:c r="G25" s="16" t="str">
        <x:v>Approved</x:v>
      </x:c>
    </x:row>
    <x:row r="26">
      <x:c r="A26" s="16" t="str">
        <x:v>RC-260024</x:v>
      </x:c>
      <x:c r="B26" s="18" t="n">
        <x:v>46107</x:v>
      </x:c>
      <x:c r="C26" s="16" t="str">
        <x:v>C009</x:v>
      </x:c>
      <x:c r="D26" s="16" t="str">
        <x:v>SI-260028</x:v>
      </x:c>
      <x:c r="E26" s="42" t="n">
        <x:v>25191.24</x:v>
      </x:c>
      <x:c r="F26" s="16" t="str">
        <x:v>Bank Transfer</x:v>
      </x:c>
      <x:c r="G26" s="16" t="str">
        <x:v>Approved</x:v>
      </x:c>
    </x:row>
    <x:row r="27">
      <x:c r="A27" s="16" t="str">
        <x:v>RC-260025</x:v>
      </x:c>
      <x:c r="B27" s="18" t="n">
        <x:v>46093</x:v>
      </x:c>
      <x:c r="C27" s="16" t="str">
        <x:v>C002</x:v>
      </x:c>
      <x:c r="D27" s="16" t="str">
        <x:v>SI-260029</x:v>
      </x:c>
      <x:c r="E27" s="42" t="n">
        <x:v>7310.08</x:v>
      </x:c>
      <x:c r="F27" s="16" t="str">
        <x:v>Bank Transfer</x:v>
      </x:c>
      <x:c r="G27" s="16" t="str">
        <x:v>Approved</x:v>
      </x:c>
    </x:row>
    <x:row r="28">
      <x:c r="A28" s="16" t="str">
        <x:v>RC-260026</x:v>
      </x:c>
      <x:c r="B28" s="18" t="n">
        <x:v>46094</x:v>
      </x:c>
      <x:c r="C28" s="16" t="str">
        <x:v>C010</x:v>
      </x:c>
      <x:c r="D28" s="16" t="str">
        <x:v>SI-260030</x:v>
      </x:c>
      <x:c r="E28" s="42" t="n">
        <x:v>9893.25</x:v>
      </x:c>
      <x:c r="F28" s="16" t="str">
        <x:v>Bank Transfer</x:v>
      </x:c>
      <x:c r="G28" s="16" t="str">
        <x:v>Approved</x:v>
      </x:c>
    </x:row>
    <x:row r="29">
      <x:c r="A29" s="16" t="str">
        <x:v>RC-260027</x:v>
      </x:c>
      <x:c r="B29" s="18" t="n">
        <x:v>46110</x:v>
      </x:c>
      <x:c r="C29" s="16" t="str">
        <x:v>C009</x:v>
      </x:c>
      <x:c r="D29" s="16" t="str">
        <x:v>SI-260031</x:v>
      </x:c>
      <x:c r="E29" s="42" t="n">
        <x:v>5421.33</x:v>
      </x:c>
      <x:c r="F29" s="16" t="str">
        <x:v>Bank Transfer</x:v>
      </x:c>
      <x:c r="G29" s="16" t="str">
        <x:v>Approved</x:v>
      </x:c>
    </x:row>
    <x:row r="30">
      <x:c r="A30" s="16" t="str">
        <x:v>RC-260028</x:v>
      </x:c>
      <x:c r="B30" s="18" t="n">
        <x:v>46111</x:v>
      </x:c>
      <x:c r="C30" s="16" t="str">
        <x:v>C005</x:v>
      </x:c>
      <x:c r="D30" s="16" t="str">
        <x:v>SI-260032</x:v>
      </x:c>
      <x:c r="E30" s="42" t="n">
        <x:v>30812.71</x:v>
      </x:c>
      <x:c r="F30" s="16" t="str">
        <x:v>Bank Transfer</x:v>
      </x:c>
      <x:c r="G30" s="16" t="str">
        <x:v>Approved</x:v>
      </x:c>
    </x:row>
    <x:row r="31">
      <x:c r="A31" s="16" t="str">
        <x:v>RC-260029</x:v>
      </x:c>
      <x:c r="B31" s="18" t="n">
        <x:v>46113</x:v>
      </x:c>
      <x:c r="C31" s="16" t="str">
        <x:v>C009</x:v>
      </x:c>
      <x:c r="D31" s="16" t="str">
        <x:v>SI-260034</x:v>
      </x:c>
      <x:c r="E31" s="42" t="n">
        <x:v>30361.09</x:v>
      </x:c>
      <x:c r="F31" s="16" t="str">
        <x:v>Bank Transfer</x:v>
      </x:c>
      <x:c r="G31" s="16" t="str">
        <x:v>Approved</x:v>
      </x:c>
    </x:row>
    <x:row r="32">
      <x:c r="A32" s="16" t="str">
        <x:v>RC-260030</x:v>
      </x:c>
      <x:c r="B32" s="18" t="n">
        <x:v>46099</x:v>
      </x:c>
      <x:c r="C32" s="16" t="str">
        <x:v>C006</x:v>
      </x:c>
      <x:c r="D32" s="16" t="str">
        <x:v>SI-260035</x:v>
      </x:c>
      <x:c r="E32" s="42" t="n">
        <x:v>25306.97</x:v>
      </x:c>
      <x:c r="F32" s="16" t="str">
        <x:v>Bank Transfer</x:v>
      </x:c>
      <x:c r="G32" s="16" t="str">
        <x:v>Approved</x:v>
      </x:c>
    </x:row>
    <x:row r="33">
      <x:c r="A33" s="16" t="str">
        <x:v>RC-260031</x:v>
      </x:c>
      <x:c r="B33" s="18" t="n">
        <x:v>46100</x:v>
      </x:c>
      <x:c r="C33" s="16" t="str">
        <x:v>C001</x:v>
      </x:c>
      <x:c r="D33" s="16" t="str">
        <x:v>SI-260036</x:v>
      </x:c>
      <x:c r="E33" s="42" t="n">
        <x:v>47207.66</x:v>
      </x:c>
      <x:c r="F33" s="16" t="str">
        <x:v>Bank Transfer</x:v>
      </x:c>
      <x:c r="G33" s="16" t="str">
        <x:v>Approved</x:v>
      </x:c>
    </x:row>
    <x:row r="34">
      <x:c r="A34" s="16" t="str">
        <x:v>RC-260032</x:v>
      </x:c>
      <x:c r="B34" s="18" t="n">
        <x:v>46101</x:v>
      </x:c>
      <x:c r="C34" s="16" t="str">
        <x:v>C002</x:v>
      </x:c>
      <x:c r="D34" s="16" t="str">
        <x:v>SI-260037</x:v>
      </x:c>
      <x:c r="E34" s="42" t="n">
        <x:v>14843.6</x:v>
      </x:c>
      <x:c r="F34" s="16" t="str">
        <x:v>Bank Transfer</x:v>
      </x:c>
      <x:c r="G34" s="16" t="str">
        <x:v>Approved</x:v>
      </x:c>
    </x:row>
    <x:row r="35">
      <x:c r="A35" s="16" t="str">
        <x:v>RC-260033</x:v>
      </x:c>
      <x:c r="B35" s="18" t="n">
        <x:v>46103</x:v>
      </x:c>
      <x:c r="C35" s="16" t="str">
        <x:v>C004</x:v>
      </x:c>
      <x:c r="D35" s="16" t="str">
        <x:v>SI-260039</x:v>
      </x:c>
      <x:c r="E35" s="42" t="n">
        <x:v>73786.94</x:v>
      </x:c>
      <x:c r="F35" s="16" t="str">
        <x:v>Bank Transfer</x:v>
      </x:c>
      <x:c r="G35" s="16" t="str">
        <x:v>Approved</x:v>
      </x:c>
    </x:row>
    <x:row r="36">
      <x:c r="A36" s="16" t="str">
        <x:v>RC-260034</x:v>
      </x:c>
      <x:c r="B36" s="18" t="n">
        <x:v>46104</x:v>
      </x:c>
      <x:c r="C36" s="16" t="str">
        <x:v>C007</x:v>
      </x:c>
      <x:c r="D36" s="16" t="str">
        <x:v>SI-260040</x:v>
      </x:c>
      <x:c r="E36" s="42" t="n">
        <x:v>9668.77</x:v>
      </x:c>
      <x:c r="F36" s="16" t="str">
        <x:v>Bank Transfer</x:v>
      </x:c>
      <x:c r="G36" s="16" t="str">
        <x:v>Approved</x:v>
      </x:c>
    </x:row>
    <x:row r="37">
      <x:c r="A37" s="16" t="str">
        <x:v>RC-260035</x:v>
      </x:c>
      <x:c r="B37" s="18" t="n">
        <x:v>46113</x:v>
      </x:c>
      <x:c r="C37" s="16" t="str">
        <x:v>C002</x:v>
      </x:c>
      <x:c r="D37" s="16" t="str">
        <x:v>SI-260041</x:v>
      </x:c>
      <x:c r="E37" s="42" t="n">
        <x:v>18540.77</x:v>
      </x:c>
      <x:c r="F37" s="16" t="str">
        <x:v>Bank Transfer</x:v>
      </x:c>
      <x:c r="G37" s="16" t="str">
        <x:v>Approved</x:v>
      </x:c>
    </x:row>
    <x:row r="38">
      <x:c r="A38" s="16" t="str">
        <x:v>RC-260036</x:v>
      </x:c>
      <x:c r="B38" s="18" t="n">
        <x:v>46114</x:v>
      </x:c>
      <x:c r="C38" s="16" t="str">
        <x:v>C004</x:v>
      </x:c>
      <x:c r="D38" s="16" t="str">
        <x:v>SI-260042</x:v>
      </x:c>
      <x:c r="E38" s="42" t="n">
        <x:v>12184.09</x:v>
      </x:c>
      <x:c r="F38" s="16" t="str">
        <x:v>Bank Transfer</x:v>
      </x:c>
      <x:c r="G38" s="16" t="str">
        <x:v>Approved</x:v>
      </x:c>
    </x:row>
    <x:row r="39">
      <x:c r="A39" s="16" t="str">
        <x:v>RC-260037</x:v>
      </x:c>
      <x:c r="B39" s="18" t="n">
        <x:v>46115</x:v>
      </x:c>
      <x:c r="C39" s="16" t="str">
        <x:v>C007</x:v>
      </x:c>
      <x:c r="D39" s="16" t="str">
        <x:v>SI-260043</x:v>
      </x:c>
      <x:c r="E39" s="42" t="n">
        <x:v>9213.33</x:v>
      </x:c>
      <x:c r="F39" s="16" t="str">
        <x:v>Bank Transfer</x:v>
      </x:c>
      <x:c r="G39" s="16" t="str">
        <x:v>Approved</x:v>
      </x:c>
    </x:row>
    <x:row r="40">
      <x:c r="A40" s="16" t="str">
        <x:v>RC-260038</x:v>
      </x:c>
      <x:c r="B40" s="18" t="n">
        <x:v>46101</x:v>
      </x:c>
      <x:c r="C40" s="16" t="str">
        <x:v>C008</x:v>
      </x:c>
      <x:c r="D40" s="16" t="str">
        <x:v>SI-260044</x:v>
      </x:c>
      <x:c r="E40" s="42" t="n">
        <x:v>7706.93</x:v>
      </x:c>
      <x:c r="F40" s="16" t="str">
        <x:v>Bank Transfer</x:v>
      </x:c>
      <x:c r="G40" s="16" t="str">
        <x:v>Approved</x:v>
      </x:c>
    </x:row>
    <x:row r="41">
      <x:c r="A41" s="16" t="str">
        <x:v>RC-260039</x:v>
      </x:c>
      <x:c r="B41" s="18" t="n">
        <x:v>46118</x:v>
      </x:c>
      <x:c r="C41" s="16" t="str">
        <x:v>C004</x:v>
      </x:c>
      <x:c r="D41" s="16" t="str">
        <x:v>SI-260046</x:v>
      </x:c>
      <x:c r="E41" s="42" t="n">
        <x:v>13613.67</x:v>
      </x:c>
      <x:c r="F41" s="16" t="str">
        <x:v>Bank Transfer</x:v>
      </x:c>
      <x:c r="G41" s="16" t="str">
        <x:v>Approved</x:v>
      </x:c>
    </x:row>
    <x:row r="42">
      <x:c r="A42" s="16" t="str">
        <x:v>RC-260040</x:v>
      </x:c>
      <x:c r="B42" s="18" t="n">
        <x:v>46119</x:v>
      </x:c>
      <x:c r="C42" s="16" t="str">
        <x:v>C007</x:v>
      </x:c>
      <x:c r="D42" s="16" t="str">
        <x:v>SI-260047</x:v>
      </x:c>
      <x:c r="E42" s="42" t="n">
        <x:v>29779.29</x:v>
      </x:c>
      <x:c r="F42" s="16" t="str">
        <x:v>Bank Transfer</x:v>
      </x:c>
      <x:c r="G42" s="16" t="str">
        <x:v>Approved</x:v>
      </x:c>
    </x:row>
    <x:row r="43">
      <x:c r="A43" s="16" t="str">
        <x:v>RC-260041</x:v>
      </x:c>
      <x:c r="B43" s="18" t="n">
        <x:v>46120</x:v>
      </x:c>
      <x:c r="C43" s="16" t="str">
        <x:v>C007</x:v>
      </x:c>
      <x:c r="D43" s="16" t="str">
        <x:v>SI-260048</x:v>
      </x:c>
      <x:c r="E43" s="42" t="n">
        <x:v>35405.83</x:v>
      </x:c>
      <x:c r="F43" s="16" t="str">
        <x:v>Bank Transfer</x:v>
      </x:c>
      <x:c r="G43" s="16" t="str">
        <x:v>Approved</x:v>
      </x:c>
    </x:row>
    <x:row r="44">
      <x:c r="A44" s="16" t="str">
        <x:v>RC-260042</x:v>
      </x:c>
      <x:c r="B44" s="18" t="n">
        <x:v>46121</x:v>
      </x:c>
      <x:c r="C44" s="16" t="str">
        <x:v>C001</x:v>
      </x:c>
      <x:c r="D44" s="16" t="str">
        <x:v>SI-260049</x:v>
      </x:c>
      <x:c r="E44" s="42" t="n">
        <x:v>30689.98</x:v>
      </x:c>
      <x:c r="F44" s="16" t="str">
        <x:v>Bank Transfer</x:v>
      </x:c>
      <x:c r="G44" s="16" t="str">
        <x:v>Approved</x:v>
      </x:c>
    </x:row>
    <x:row r="45">
      <x:c r="A45" s="16" t="str">
        <x:v>RC-260043</x:v>
      </x:c>
      <x:c r="B45" s="18" t="n">
        <x:v>46122</x:v>
      </x:c>
      <x:c r="C45" s="16" t="str">
        <x:v>C010</x:v>
      </x:c>
      <x:c r="D45" s="16" t="str">
        <x:v>SI-260050</x:v>
      </x:c>
      <x:c r="E45" s="42" t="n">
        <x:v>94303.44</x:v>
      </x:c>
      <x:c r="F45" s="16" t="str">
        <x:v>Bank Transfer</x:v>
      </x:c>
      <x:c r="G45" s="16" t="str">
        <x:v>Approved</x:v>
      </x:c>
    </x:row>
    <x:row r="46">
      <x:c r="A46" s="16" t="str">
        <x:v>RC-260044</x:v>
      </x:c>
      <x:c r="B46" s="18" t="n">
        <x:v>46123</x:v>
      </x:c>
      <x:c r="C46" s="16" t="str">
        <x:v>C001</x:v>
      </x:c>
      <x:c r="D46" s="16" t="str">
        <x:v>SI-260051</x:v>
      </x:c>
      <x:c r="E46" s="42" t="n">
        <x:v>15065.19</x:v>
      </x:c>
      <x:c r="F46" s="16" t="str">
        <x:v>Bank Transfer</x:v>
      </x:c>
      <x:c r="G46" s="16" t="str">
        <x:v>Approved</x:v>
      </x:c>
    </x:row>
    <x:row r="47">
      <x:c r="A47" s="16" t="str">
        <x:v>RC-260045</x:v>
      </x:c>
      <x:c r="B47" s="18" t="n">
        <x:v>46124</x:v>
      </x:c>
      <x:c r="C47" s="16" t="str">
        <x:v>C004</x:v>
      </x:c>
      <x:c r="D47" s="16" t="str">
        <x:v>SI-260052</x:v>
      </x:c>
      <x:c r="E47" s="42" t="n">
        <x:v>21050.92</x:v>
      </x:c>
      <x:c r="F47" s="16" t="str">
        <x:v>Bank Transfer</x:v>
      </x:c>
      <x:c r="G47" s="16" t="str">
        <x:v>Approved</x:v>
      </x:c>
    </x:row>
    <x:row r="48">
      <x:c r="A48" s="16" t="str">
        <x:v>RC-260046</x:v>
      </x:c>
      <x:c r="B48" s="18" t="n">
        <x:v>46125</x:v>
      </x:c>
      <x:c r="C48" s="16" t="str">
        <x:v>C010</x:v>
      </x:c>
      <x:c r="D48" s="16" t="str">
        <x:v>SI-260053</x:v>
      </x:c>
      <x:c r="E48" s="42" t="n">
        <x:v>15605.98</x:v>
      </x:c>
      <x:c r="F48" s="16" t="str">
        <x:v>Bank Transfer</x:v>
      </x:c>
      <x:c r="G48" s="16" t="str">
        <x:v>Approved</x:v>
      </x:c>
    </x:row>
    <x:row r="49">
      <x:c r="A49" s="16" t="str">
        <x:v>RC-260047</x:v>
      </x:c>
      <x:c r="B49" s="18" t="n">
        <x:v>46141</x:v>
      </x:c>
      <x:c r="C49" s="16" t="str">
        <x:v>C005</x:v>
      </x:c>
      <x:c r="D49" s="16" t="str">
        <x:v>SI-260054</x:v>
      </x:c>
      <x:c r="E49" s="42" t="n">
        <x:v>34563.85</x:v>
      </x:c>
      <x:c r="F49" s="16" t="str">
        <x:v>Bank Transfer</x:v>
      </x:c>
      <x:c r="G49" s="16" t="str">
        <x:v>Approved</x:v>
      </x:c>
    </x:row>
    <x:row r="50">
      <x:c r="A50" s="16" t="str">
        <x:v>RC-260048</x:v>
      </x:c>
      <x:c r="B50" s="18" t="n">
        <x:v>46142</x:v>
      </x:c>
      <x:c r="C50" s="16" t="str">
        <x:v>C005</x:v>
      </x:c>
      <x:c r="D50" s="16" t="str">
        <x:v>SI-260055</x:v>
      </x:c>
      <x:c r="E50" s="42" t="n">
        <x:v>11855.4</x:v>
      </x:c>
      <x:c r="F50" s="16" t="str">
        <x:v>Bank Transfer</x:v>
      </x:c>
      <x:c r="G50" s="16" t="str">
        <x:v>Approved</x:v>
      </x:c>
    </x:row>
    <x:row r="51">
      <x:c r="A51" s="16" t="str">
        <x:v>RC-260049</x:v>
      </x:c>
      <x:c r="B51" s="18" t="n">
        <x:v>46113</x:v>
      </x:c>
      <x:c r="C51" s="16" t="str">
        <x:v>C008</x:v>
      </x:c>
      <x:c r="D51" s="16" t="str">
        <x:v>SI-260056</x:v>
      </x:c>
      <x:c r="E51" s="42" t="n">
        <x:v>16759.26</x:v>
      </x:c>
      <x:c r="F51" s="16" t="str">
        <x:v>Bank Transfer</x:v>
      </x:c>
      <x:c r="G51" s="16" t="str">
        <x:v>Approved</x:v>
      </x:c>
    </x:row>
    <x:row r="52">
      <x:c r="A52" s="16" t="str">
        <x:v>RC-260050</x:v>
      </x:c>
      <x:c r="B52" s="18" t="n">
        <x:v>46114</x:v>
      </x:c>
      <x:c r="C52" s="16" t="str">
        <x:v>C008</x:v>
      </x:c>
      <x:c r="D52" s="16" t="str">
        <x:v>SI-260057</x:v>
      </x:c>
      <x:c r="E52" s="42" t="n">
        <x:v>4755.11</x:v>
      </x:c>
      <x:c r="F52" s="16" t="str">
        <x:v>Bank Transfer</x:v>
      </x:c>
      <x:c r="G52" s="16" t="str">
        <x:v>Approved</x:v>
      </x:c>
    </x:row>
    <x:row r="53">
      <x:c r="A53" s="16" t="str">
        <x:v>RC-260051</x:v>
      </x:c>
      <x:c r="B53" s="18" t="n">
        <x:v>46145</x:v>
      </x:c>
      <x:c r="C53" s="16" t="str">
        <x:v>C003</x:v>
      </x:c>
      <x:c r="D53" s="16" t="str">
        <x:v>SI-260058</x:v>
      </x:c>
      <x:c r="E53" s="42" t="n">
        <x:v>1352.66</x:v>
      </x:c>
      <x:c r="F53" s="16" t="str">
        <x:v>Bank Transfer</x:v>
      </x:c>
      <x:c r="G53" s="16" t="str">
        <x:v>Approved</x:v>
      </x:c>
    </x:row>
    <x:row r="54">
      <x:c r="A54" s="16" t="str">
        <x:v>RC-260052</x:v>
      </x:c>
      <x:c r="B54" s="18" t="n">
        <x:v>46146</x:v>
      </x:c>
      <x:c r="C54" s="16" t="str">
        <x:v>C005</x:v>
      </x:c>
      <x:c r="D54" s="16" t="str">
        <x:v>SI-260059</x:v>
      </x:c>
      <x:c r="E54" s="42" t="n">
        <x:v>8978.57</x:v>
      </x:c>
      <x:c r="F54" s="16" t="str">
        <x:v>Bank Transfer</x:v>
      </x:c>
      <x:c r="G54" s="16" t="str">
        <x:v>Approved</x:v>
      </x:c>
    </x:row>
    <x:row r="55">
      <x:c r="A55" s="16" t="str">
        <x:v>RC-260053</x:v>
      </x:c>
      <x:c r="B55" s="18" t="n">
        <x:v>46132</x:v>
      </x:c>
      <x:c r="C55" s="16" t="str">
        <x:v>C010</x:v>
      </x:c>
      <x:c r="D55" s="16" t="str">
        <x:v>SI-260060</x:v>
      </x:c>
      <x:c r="E55" s="42" t="n">
        <x:v>11461.42</x:v>
      </x:c>
      <x:c r="F55" s="16" t="str">
        <x:v>Bank Transfer</x:v>
      </x:c>
      <x:c r="G55" s="16" t="str">
        <x:v>Approved</x:v>
      </x:c>
    </x:row>
    <x:row r="56">
      <x:c r="A56" s="16" t="str">
        <x:v>RC-260054</x:v>
      </x:c>
      <x:c r="B56" s="18" t="n">
        <x:v>46144</x:v>
      </x:c>
      <x:c r="C56" s="16" t="str">
        <x:v>C002</x:v>
      </x:c>
      <x:c r="D56" s="16" t="str">
        <x:v>SI-260061</x:v>
      </x:c>
      <x:c r="E56" s="42" t="n">
        <x:v>8559.08</x:v>
      </x:c>
      <x:c r="F56" s="16" t="str">
        <x:v>Bank Transfer</x:v>
      </x:c>
      <x:c r="G56" s="16" t="str">
        <x:v>Approved</x:v>
      </x:c>
    </x:row>
    <x:row r="57">
      <x:c r="A57" s="16" t="str">
        <x:v>RC-260055</x:v>
      </x:c>
      <x:c r="B57" s="18" t="n">
        <x:v>46160</x:v>
      </x:c>
      <x:c r="C57" s="16" t="str">
        <x:v>C009</x:v>
      </x:c>
      <x:c r="D57" s="16" t="str">
        <x:v>SI-260062</x:v>
      </x:c>
      <x:c r="E57" s="42" t="n">
        <x:v>8890.03</x:v>
      </x:c>
      <x:c r="F57" s="16" t="str">
        <x:v>Bank Transfer</x:v>
      </x:c>
      <x:c r="G57" s="16" t="str">
        <x:v>Approved</x:v>
      </x:c>
    </x:row>
    <x:row r="58">
      <x:c r="A58" s="16" t="str">
        <x:v>RC-260056</x:v>
      </x:c>
      <x:c r="B58" s="18" t="n">
        <x:v>46146</x:v>
      </x:c>
      <x:c r="C58" s="16" t="str">
        <x:v>C006</x:v>
      </x:c>
      <x:c r="D58" s="16" t="str">
        <x:v>SI-260063</x:v>
      </x:c>
      <x:c r="E58" s="42" t="n">
        <x:v>18332.6</x:v>
      </x:c>
      <x:c r="F58" s="16" t="str">
        <x:v>Bank Transfer</x:v>
      </x:c>
      <x:c r="G58" s="16" t="str">
        <x:v>Approved</x:v>
      </x:c>
    </x:row>
    <x:row r="59">
      <x:c r="A59" s="16" t="str">
        <x:v>RC-260057</x:v>
      </x:c>
      <x:c r="B59" s="18" t="n">
        <x:v>46162</x:v>
      </x:c>
      <x:c r="C59" s="16" t="str">
        <x:v>C009</x:v>
      </x:c>
      <x:c r="D59" s="16" t="str">
        <x:v>SI-260064</x:v>
      </x:c>
      <x:c r="E59" s="42" t="n">
        <x:v>53434.89</x:v>
      </x:c>
      <x:c r="F59" s="16" t="str">
        <x:v>Bank Transfer</x:v>
      </x:c>
      <x:c r="G59" s="16" t="str">
        <x:v>Approved</x:v>
      </x:c>
    </x:row>
    <x:row r="60">
      <x:c r="A60" s="16" t="str">
        <x:v>RC-260058</x:v>
      </x:c>
      <x:c r="B60" s="18" t="n">
        <x:v>46148</x:v>
      </x:c>
      <x:c r="C60" s="16" t="str">
        <x:v>C002</x:v>
      </x:c>
      <x:c r="D60" s="16" t="str">
        <x:v>SI-260065</x:v>
      </x:c>
      <x:c r="E60" s="42" t="n">
        <x:v>16171.77</x:v>
      </x:c>
      <x:c r="F60" s="16" t="str">
        <x:v>Bank Transfer</x:v>
      </x:c>
      <x:c r="G60" s="16" t="str">
        <x:v>Approved</x:v>
      </x:c>
    </x:row>
    <x:row r="61">
      <x:c r="A61" s="16" t="str">
        <x:v>RC-260059</x:v>
      </x:c>
      <x:c r="B61" s="18" t="n">
        <x:v>46165</x:v>
      </x:c>
      <x:c r="C61" s="16" t="str">
        <x:v>C009</x:v>
      </x:c>
      <x:c r="D61" s="16" t="str">
        <x:v>SI-260067</x:v>
      </x:c>
      <x:c r="E61" s="42" t="n">
        <x:v>6893.21</x:v>
      </x:c>
      <x:c r="F61" s="16" t="str">
        <x:v>Bank Transfer</x:v>
      </x:c>
      <x:c r="G61" s="16" t="str">
        <x:v>Approved</x:v>
      </x:c>
    </x:row>
    <x:row r="62">
      <x:c r="A62" s="16" t="str">
        <x:v>RC-260060</x:v>
      </x:c>
      <x:c r="B62" s="18" t="n">
        <x:v>46166</x:v>
      </x:c>
      <x:c r="C62" s="16" t="str">
        <x:v>C009</x:v>
      </x:c>
      <x:c r="D62" s="16" t="str">
        <x:v>SI-260068</x:v>
      </x:c>
      <x:c r="E62" s="42" t="n">
        <x:v>17038.29</x:v>
      </x:c>
      <x:c r="F62" s="16" t="str">
        <x:v>Bank Transfer</x:v>
      </x:c>
      <x:c r="G62" s="16" t="str">
        <x:v>Approved</x:v>
      </x:c>
    </x:row>
    <x:row r="63">
      <x:c r="A63" s="16" t="str">
        <x:v>RC-260061</x:v>
      </x:c>
      <x:c r="B63" s="18" t="n">
        <x:v>46152</x:v>
      </x:c>
      <x:c r="C63" s="16" t="str">
        <x:v>C007</x:v>
      </x:c>
      <x:c r="D63" s="16" t="str">
        <x:v>SI-260069</x:v>
      </x:c>
      <x:c r="E63" s="42" t="n">
        <x:v>3037.25</x:v>
      </x:c>
      <x:c r="F63" s="16" t="str">
        <x:v>Bank Transfer</x:v>
      </x:c>
      <x:c r="G63" s="16" t="str">
        <x:v>Approved</x:v>
      </x:c>
    </x:row>
    <x:row r="64">
      <x:c r="A64" s="16" t="str">
        <x:v>RC-260062</x:v>
      </x:c>
      <x:c r="B64" s="18" t="n">
        <x:v>46153</x:v>
      </x:c>
      <x:c r="C64" s="16" t="str">
        <x:v>C006</x:v>
      </x:c>
      <x:c r="D64" s="16" t="str">
        <x:v>SI-260070</x:v>
      </x:c>
      <x:c r="E64" s="42" t="n">
        <x:v>33705.29</x:v>
      </x:c>
      <x:c r="F64" s="16" t="str">
        <x:v>Bank Transfer</x:v>
      </x:c>
      <x:c r="G64" s="16" t="str">
        <x:v>Approved</x:v>
      </x:c>
    </x:row>
    <x:row r="65">
      <x:c r="A65" s="16" t="str">
        <x:v>RC-260063</x:v>
      </x:c>
      <x:c r="B65" s="18" t="n">
        <x:v>46154</x:v>
      </x:c>
      <x:c r="C65" s="16" t="str">
        <x:v>C006</x:v>
      </x:c>
      <x:c r="D65" s="16" t="str">
        <x:v>SI-260071</x:v>
      </x:c>
      <x:c r="E65" s="42" t="n">
        <x:v>73280.71</x:v>
      </x:c>
      <x:c r="F65" s="16" t="str">
        <x:v>Bank Transfer</x:v>
      </x:c>
      <x:c r="G65" s="16" t="str">
        <x:v>Approved</x:v>
      </x:c>
    </x:row>
    <x:row r="66">
      <x:c r="A66" s="16" t="str">
        <x:v>RC-260064</x:v>
      </x:c>
      <x:c r="B66" s="18" t="n">
        <x:v>46170</x:v>
      </x:c>
      <x:c r="C66" s="16" t="str">
        <x:v>C003</x:v>
      </x:c>
      <x:c r="D66" s="16" t="str">
        <x:v>SI-260072</x:v>
      </x:c>
      <x:c r="E66" s="42" t="n">
        <x:v>7562.83</x:v>
      </x:c>
      <x:c r="F66" s="16" t="str">
        <x:v>Bank Transfer</x:v>
      </x:c>
      <x:c r="G66" s="16" t="str">
        <x:v>Approved</x:v>
      </x:c>
    </x:row>
    <x:row r="67">
      <x:c r="A67" s="16" t="str">
        <x:v>RC-260065</x:v>
      </x:c>
      <x:c r="B67" s="18" t="n">
        <x:v>46156</x:v>
      </x:c>
      <x:c r="C67" s="16" t="str">
        <x:v>C007</x:v>
      </x:c>
      <x:c r="D67" s="16" t="str">
        <x:v>SI-260073</x:v>
      </x:c>
      <x:c r="E67" s="42" t="n">
        <x:v>15167</x:v>
      </x:c>
      <x:c r="F67" s="16" t="str">
        <x:v>Bank Transfer</x:v>
      </x:c>
      <x:c r="G67" s="16" t="str">
        <x:v>Approved</x:v>
      </x:c>
    </x:row>
    <x:row r="68">
      <x:c r="A68" s="16" t="str">
        <x:v>RC-260066</x:v>
      </x:c>
      <x:c r="B68" s="18" t="n">
        <x:v>46158</x:v>
      </x:c>
      <x:c r="C68" s="16" t="str">
        <x:v>C006</x:v>
      </x:c>
      <x:c r="D68" s="16" t="str">
        <x:v>SI-260075</x:v>
      </x:c>
      <x:c r="E68" s="42" t="n">
        <x:v>66281.61</x:v>
      </x:c>
      <x:c r="F68" s="16" t="str">
        <x:v>Bank Transfer</x:v>
      </x:c>
      <x:c r="G68" s="16" t="str">
        <x:v>Approved</x:v>
      </x:c>
    </x:row>
    <x:row r="69">
      <x:c r="A69" s="16" t="str">
        <x:v>RC-260067</x:v>
      </x:c>
      <x:c r="B69" s="18" t="n">
        <x:v>46159</x:v>
      </x:c>
      <x:c r="C69" s="16" t="str">
        <x:v>C001</x:v>
      </x:c>
      <x:c r="D69" s="16" t="str">
        <x:v>SI-260076</x:v>
      </x:c>
      <x:c r="E69" s="42" t="n">
        <x:v>21295.34</x:v>
      </x:c>
      <x:c r="F69" s="16" t="str">
        <x:v>Bank Transfer</x:v>
      </x:c>
      <x:c r="G69" s="16" t="str">
        <x:v>Approved</x:v>
      </x:c>
    </x:row>
    <x:row r="70">
      <x:c r="A70" s="16" t="str">
        <x:v>RC-260068</x:v>
      </x:c>
      <x:c r="B70" s="18" t="n">
        <x:v>46175</x:v>
      </x:c>
      <x:c r="C70" s="16" t="str">
        <x:v>C005</x:v>
      </x:c>
      <x:c r="D70" s="16" t="str">
        <x:v>SI-260077</x:v>
      </x:c>
      <x:c r="E70" s="42" t="n">
        <x:v>7622.64</x:v>
      </x:c>
      <x:c r="F70" s="16" t="str">
        <x:v>Bank Transfer</x:v>
      </x:c>
      <x:c r="G70" s="16" t="str">
        <x:v>Approved</x:v>
      </x:c>
    </x:row>
    <x:row r="71">
      <x:c r="A71" s="16" t="str">
        <x:v>RC-260069</x:v>
      </x:c>
      <x:c r="B71" s="18" t="n">
        <x:v>46161</x:v>
      </x:c>
      <x:c r="C71" s="16" t="str">
        <x:v>C001</x:v>
      </x:c>
      <x:c r="D71" s="16" t="str">
        <x:v>SI-260078</x:v>
      </x:c>
      <x:c r="E71" s="42" t="n">
        <x:v>12064.6</x:v>
      </x:c>
      <x:c r="F71" s="16" t="str">
        <x:v>Bank Transfer</x:v>
      </x:c>
      <x:c r="G71" s="16" t="str">
        <x:v>Approved</x:v>
      </x:c>
    </x:row>
    <x:row r="72">
      <x:c r="A72" s="16" t="str">
        <x:v>RC-260070</x:v>
      </x:c>
      <x:c r="B72" s="18" t="n">
        <x:v>46162</x:v>
      </x:c>
      <x:c r="C72" s="16" t="str">
        <x:v>C001</x:v>
      </x:c>
      <x:c r="D72" s="16" t="str">
        <x:v>SI-260079</x:v>
      </x:c>
      <x:c r="E72" s="42" t="n">
        <x:v>14657.2</x:v>
      </x:c>
      <x:c r="F72" s="16" t="str">
        <x:v>Bank Transfer</x:v>
      </x:c>
      <x:c r="G72" s="16" t="str">
        <x:v>Approved</x:v>
      </x:c>
    </x:row>
    <x:row r="73">
      <x:c r="A73" s="16" t="str">
        <x:v>RC-260071</x:v>
      </x:c>
      <x:c r="B73" s="18" t="n">
        <x:v>46163</x:v>
      </x:c>
      <x:c r="C73" s="16" t="str">
        <x:v>C007</x:v>
      </x:c>
      <x:c r="D73" s="16" t="str">
        <x:v>SI-260080</x:v>
      </x:c>
      <x:c r="E73" s="42" t="n">
        <x:v>28493.33</x:v>
      </x:c>
      <x:c r="F73" s="16" t="str">
        <x:v>Bank Transfer</x:v>
      </x:c>
      <x:c r="G73" s="16" t="str">
        <x:v>Approved</x:v>
      </x:c>
    </x:row>
    <x:row r="74">
      <x:c r="A74" s="16" t="str">
        <x:v>RC-260072</x:v>
      </x:c>
      <x:c r="B74" s="18" t="n">
        <x:v>46189</x:v>
      </x:c>
      <x:c r="C74" s="16" t="str">
        <x:v>C005</x:v>
      </x:c>
      <x:c r="D74" s="16" t="str">
        <x:v>SI-260081</x:v>
      </x:c>
      <x:c r="E74" s="42" t="n">
        <x:v>29558.39</x:v>
      </x:c>
      <x:c r="F74" s="16" t="str">
        <x:v>Bank Transfer</x:v>
      </x:c>
      <x:c r="G74" s="16" t="str">
        <x:v>Approved</x:v>
      </x:c>
    </x:row>
    <x:row r="75">
      <x:c r="A75" s="16" t="str">
        <x:v>RC-260073</x:v>
      </x:c>
      <x:c r="B75" s="18" t="n">
        <x:v>46175</x:v>
      </x:c>
      <x:c r="C75" s="16" t="str">
        <x:v>C006</x:v>
      </x:c>
      <x:c r="D75" s="16" t="str">
        <x:v>SI-260082</x:v>
      </x:c>
      <x:c r="E75" s="42" t="n">
        <x:v>8000.42</x:v>
      </x:c>
      <x:c r="F75" s="16" t="str">
        <x:v>Bank Transfer</x:v>
      </x:c>
      <x:c r="G75" s="16" t="str">
        <x:v>Approved</x:v>
      </x:c>
    </x:row>
    <x:row r="76">
      <x:c r="A76" s="16" t="str">
        <x:v>RC-260074</x:v>
      </x:c>
      <x:c r="B76" s="18" t="n">
        <x:v>46176</x:v>
      </x:c>
      <x:c r="C76" s="16" t="str">
        <x:v>C010</x:v>
      </x:c>
      <x:c r="D76" s="16" t="str">
        <x:v>SI-260083</x:v>
      </x:c>
      <x:c r="E76" s="42" t="n">
        <x:v>8765.23</x:v>
      </x:c>
      <x:c r="F76" s="16" t="str">
        <x:v>Bank Transfer</x:v>
      </x:c>
      <x:c r="G76" s="16" t="str">
        <x:v>Approved</x:v>
      </x:c>
    </x:row>
    <x:row r="77">
      <x:c r="A77" s="16" t="str">
        <x:v>RC-260075</x:v>
      </x:c>
      <x:c r="B77" s="18" t="n">
        <x:v>46194</x:v>
      </x:c>
      <x:c r="C77" s="16" t="str">
        <x:v>C003</x:v>
      </x:c>
      <x:c r="D77" s="16" t="str">
        <x:v>SI-260086</x:v>
      </x:c>
      <x:c r="E77" s="42" t="n">
        <x:v>35670.44</x:v>
      </x:c>
      <x:c r="F77" s="16" t="str">
        <x:v>Bank Transfer</x:v>
      </x:c>
      <x:c r="G77" s="16" t="str">
        <x:v>Approved</x:v>
      </x:c>
    </x:row>
    <x:row r="78">
      <x:c r="A78" s="16" t="str">
        <x:v>RC-260076</x:v>
      </x:c>
      <x:c r="B78" s="18" t="n">
        <x:v>46195</x:v>
      </x:c>
      <x:c r="C78" s="16" t="str">
        <x:v>C005</x:v>
      </x:c>
      <x:c r="D78" s="16" t="str">
        <x:v>SI-260087</x:v>
      </x:c>
      <x:c r="E78" s="42" t="n">
        <x:v>7426.97</x:v>
      </x:c>
      <x:c r="F78" s="16" t="str">
        <x:v>Bank Transfer</x:v>
      </x:c>
      <x:c r="G78" s="16" t="str">
        <x:v>Approved</x:v>
      </x:c>
    </x:row>
    <x:row r="79">
      <x:c r="A79" s="16" t="str">
        <x:v>RC-260077</x:v>
      </x:c>
      <x:c r="B79" s="18" t="n">
        <x:v>46197</x:v>
      </x:c>
      <x:c r="C79" s="16" t="str">
        <x:v>C003</x:v>
      </x:c>
      <x:c r="D79" s="16" t="str">
        <x:v>SI-260089</x:v>
      </x:c>
      <x:c r="E79" s="42" t="n">
        <x:v>10118.84</x:v>
      </x:c>
      <x:c r="F79" s="16" t="str">
        <x:v>Bank Transfer</x:v>
      </x:c>
      <x:c r="G79" s="16" t="str">
        <x:v>Approved</x:v>
      </x:c>
    </x:row>
    <x:row r="80">
      <x:c r="A80" s="16" t="str">
        <x:v>RC-260078</x:v>
      </x:c>
      <x:c r="B80" s="18" t="n">
        <x:v>46183</x:v>
      </x:c>
      <x:c r="C80" s="16" t="str">
        <x:v>C002</x:v>
      </x:c>
      <x:c r="D80" s="16" t="str">
        <x:v>SI-260090</x:v>
      </x:c>
      <x:c r="E80" s="42" t="n">
        <x:v>33457.54</x:v>
      </x:c>
      <x:c r="F80" s="16" t="str">
        <x:v>Bank Transfer</x:v>
      </x:c>
      <x:c r="G80" s="16" t="str">
        <x:v>Approved</x:v>
      </x:c>
    </x:row>
    <x:row r="81">
      <x:c r="A81" s="16" t="str">
        <x:v>RC-260079</x:v>
      </x:c>
      <x:c r="B81" s="18" t="n">
        <x:v>46185</x:v>
      </x:c>
      <x:c r="C81" s="16" t="str">
        <x:v>C010</x:v>
      </x:c>
      <x:c r="D81" s="16" t="str">
        <x:v>SI-260092</x:v>
      </x:c>
      <x:c r="E81" s="42" t="n">
        <x:v>31445.51</x:v>
      </x:c>
      <x:c r="F81" s="16" t="str">
        <x:v>Bank Transfer</x:v>
      </x:c>
      <x:c r="G81" s="16" t="str">
        <x:v>Approved</x:v>
      </x:c>
    </x:row>
    <x:row r="82">
      <x:c r="A82" s="16" t="str">
        <x:v>RC-260080</x:v>
      </x:c>
      <x:c r="B82" s="18" t="n">
        <x:v>46186</x:v>
      </x:c>
      <x:c r="C82" s="16" t="str">
        <x:v>C007</x:v>
      </x:c>
      <x:c r="D82" s="16" t="str">
        <x:v>SI-260093</x:v>
      </x:c>
      <x:c r="E82" s="42" t="n">
        <x:v>73105.01</x:v>
      </x:c>
      <x:c r="F82" s="16" t="str">
        <x:v>Bank Transfer</x:v>
      </x:c>
      <x:c r="G82" s="16" t="str">
        <x:v>Approved</x:v>
      </x:c>
    </x:row>
    <x:row r="83">
      <x:c r="A83" s="16" t="str">
        <x:v>RC-260081</x:v>
      </x:c>
      <x:c r="B83" s="18" t="n">
        <x:v>46176</x:v>
      </x:c>
      <x:c r="C83" s="16" t="str">
        <x:v>C008</x:v>
      </x:c>
      <x:c r="D83" s="16" t="str">
        <x:v>SI-260098</x:v>
      </x:c>
      <x:c r="E83" s="42" t="n">
        <x:v>25869.73</x:v>
      </x:c>
      <x:c r="F83" s="16" t="str">
        <x:v>Bank Transfer</x:v>
      </x:c>
      <x:c r="G83" s="16" t="str">
        <x:v>Approved</x:v>
      </x:c>
    </x:row>
    <x:row r="84">
      <x:c r="A84" s="16" t="str">
        <x:v>RC-260082</x:v>
      </x:c>
      <x:c r="B84" s="18" t="n">
        <x:v>46193</x:v>
      </x:c>
      <x:c r="C84" s="16" t="str">
        <x:v>C002</x:v>
      </x:c>
      <x:c r="D84" s="16" t="str">
        <x:v>SI-260100</x:v>
      </x:c>
      <x:c r="E84" s="42" t="n">
        <x:v>9106.81</x:v>
      </x:c>
      <x:c r="F84" s="16" t="str">
        <x:v>Bank Transfer</x:v>
      </x:c>
      <x:c r="G84" s="16" t="str">
        <x:v>Approved</x:v>
      </x:c>
    </x:row>
    <x:row r="85">
      <x:c r="A85" s="16" t="str">
        <x:v>RC-260083</x:v>
      </x:c>
      <x:c r="B85" s="18" t="n">
        <x:v>46221</x:v>
      </x:c>
      <x:c r="C85" s="16" t="str">
        <x:v>C003</x:v>
      </x:c>
      <x:c r="D85" s="16" t="str">
        <x:v>SI-260102</x:v>
      </x:c>
      <x:c r="E85" s="42" t="n">
        <x:v>2884.07</x:v>
      </x:c>
      <x:c r="F85" s="16" t="str">
        <x:v>Bank Transfer</x:v>
      </x:c>
      <x:c r="G85" s="16" t="str">
        <x:v>Approved</x:v>
      </x:c>
    </x:row>
    <x:row r="86">
      <x:c r="A86" s="16" t="str">
        <x:v>RC-260084</x:v>
      </x:c>
      <x:c r="B86" s="18" t="n">
        <x:v>46227</x:v>
      </x:c>
      <x:c r="C86" s="16" t="str">
        <x:v>C003</x:v>
      </x:c>
      <x:c r="D86" s="16" t="str">
        <x:v>SI-260108</x:v>
      </x:c>
      <x:c r="E86" s="42" t="n">
        <x:v>33516</x:v>
      </x:c>
      <x:c r="F86" s="16" t="str">
        <x:v>Bank Transfer</x:v>
      </x:c>
      <x:c r="G86" s="16" t="str">
        <x:v>Approved</x:v>
      </x:c>
    </x:row>
    <x:row r="87">
      <x:c r="A87" s="16" t="str">
        <x:v>RC-260085</x:v>
      </x:c>
      <x:c r="B87" s="18" t="n">
        <x:v>46213</x:v>
      </x:c>
      <x:c r="C87" s="16" t="str">
        <x:v>C007</x:v>
      </x:c>
      <x:c r="D87" s="16" t="str">
        <x:v>SI-260109</x:v>
      </x:c>
      <x:c r="E87" s="42" t="n">
        <x:v>6171.16</x:v>
      </x:c>
      <x:c r="F87" s="16" t="str">
        <x:v>Bank Transfer</x:v>
      </x:c>
      <x:c r="G87" s="16" t="str">
        <x:v>Approved</x:v>
      </x:c>
    </x:row>
    <x:row r="88">
      <x:c r="A88" s="16" t="str">
        <x:v>RC-260086</x:v>
      </x:c>
      <x:c r="B88" s="18" t="n">
        <x:v>46199</x:v>
      </x:c>
      <x:c r="C88" s="16" t="str">
        <x:v>C008</x:v>
      </x:c>
      <x:c r="D88" s="16" t="str">
        <x:v>SI-260110</x:v>
      </x:c>
      <x:c r="E88" s="42" t="n">
        <x:v>1562.22</x:v>
      </x:c>
      <x:c r="F88" s="16" t="str">
        <x:v>Bank Transfer</x:v>
      </x:c>
      <x:c r="G88" s="16" t="str">
        <x:v>Approved</x:v>
      </x:c>
    </x:row>
    <x:row r="89">
      <x:c r="A89" s="16" t="str">
        <x:v>RC-260087</x:v>
      </x:c>
      <x:c r="B89" s="18" t="n">
        <x:v>46217</x:v>
      </x:c>
      <x:c r="C89" s="16" t="str">
        <x:v>C001</x:v>
      </x:c>
      <x:c r="D89" s="16" t="str">
        <x:v>SI-260113</x:v>
      </x:c>
      <x:c r="E89" s="42" t="n">
        <x:v>15779.17</x:v>
      </x:c>
      <x:c r="F89" s="16" t="str">
        <x:v>Bank Transfer</x:v>
      </x:c>
      <x:c r="G89" s="16" t="str">
        <x:v>Approved</x:v>
      </x:c>
    </x:row>
    <x:row r="90">
      <x:c r="A90" s="16" t="str">
        <x:v>RC-260088</x:v>
      </x:c>
      <x:c r="B90" s="18" t="n">
        <x:v>46218</x:v>
      </x:c>
      <x:c r="C90" s="16" t="str">
        <x:v>C001</x:v>
      </x:c>
      <x:c r="D90" s="16" t="str">
        <x:v>SI-260114</x:v>
      </x:c>
      <x:c r="E90" s="42" t="n">
        <x:v>11968.52</x:v>
      </x:c>
      <x:c r="F90" s="16" t="str">
        <x:v>Bank Transfer</x:v>
      </x:c>
      <x:c r="G90" s="16" t="str">
        <x:v>Approved</x:v>
      </x:c>
    </x:row>
    <x:row r="91">
      <x:c r="A91" s="16" t="str">
        <x:v>RC-260089</x:v>
      </x:c>
      <x:c r="B91" s="18" t="n">
        <x:v>46219</x:v>
      </x:c>
      <x:c r="C91" s="16" t="str">
        <x:v>C010</x:v>
      </x:c>
      <x:c r="D91" s="16" t="str">
        <x:v>SI-260115</x:v>
      </x:c>
      <x:c r="E91" s="42" t="n">
        <x:v>7930.06</x:v>
      </x:c>
      <x:c r="F91" s="16" t="str">
        <x:v>Bank Transfer</x:v>
      </x:c>
      <x:c r="G91" s="16" t="str">
        <x:v>Approved</x:v>
      </x:c>
    </x:row>
    <x:row r="92">
      <x:c r="A92" s="16" t="str">
        <x:v>RC-260090</x:v>
      </x:c>
      <x:c r="B92" s="18" t="n">
        <x:v>46220</x:v>
      </x:c>
      <x:c r="C92" s="16" t="str">
        <x:v>C010</x:v>
      </x:c>
      <x:c r="D92" s="16" t="str">
        <x:v>SI-260116</x:v>
      </x:c>
      <x:c r="E92" s="42" t="n">
        <x:v>8855.56</x:v>
      </x:c>
      <x:c r="F92" s="16" t="str">
        <x:v>Bank Transfer</x:v>
      </x:c>
      <x:c r="G92" s="16" t="str">
        <x:v>Approved</x:v>
      </x:c>
    </x:row>
    <x:row r="93">
      <x:c r="A93" s="16" t="str">
        <x:v>RC-260091</x:v>
      </x:c>
      <x:c r="B93" s="18" t="n">
        <x:v>46236</x:v>
      </x:c>
      <x:c r="C93" s="16" t="str">
        <x:v>C003</x:v>
      </x:c>
      <x:c r="D93" s="16" t="str">
        <x:v>SI-260117</x:v>
      </x:c>
      <x:c r="E93" s="42" t="n">
        <x:v>33932.43</x:v>
      </x:c>
      <x:c r="F93" s="16" t="str">
        <x:v>Bank Transfer</x:v>
      </x:c>
      <x:c r="G93" s="16" t="str">
        <x:v>Approved</x:v>
      </x:c>
    </x:row>
    <x:row r="94">
      <x:c r="A94" s="16" t="str">
        <x:v>RC-260092</x:v>
      </x:c>
      <x:c r="B94" s="18" t="n">
        <x:v>46223</x:v>
      </x:c>
      <x:c r="C94" s="16" t="str">
        <x:v>C007</x:v>
      </x:c>
      <x:c r="D94" s="16" t="str">
        <x:v>SI-260119</x:v>
      </x:c>
      <x:c r="E94" s="42" t="n">
        <x:v>7016.02</x:v>
      </x:c>
      <x:c r="F94" s="16" t="str">
        <x:v>Bank Transfer</x:v>
      </x:c>
      <x:c r="G94" s="16" t="str">
        <x:v>Approved</x:v>
      </x:c>
    </x:row>
    <x:row r="95">
      <x:c r="A95" s="16" t="str">
        <x:v>RC-260093</x:v>
      </x:c>
      <x:c r="B95" s="18" t="n">
        <x:v>46224</x:v>
      </x:c>
      <x:c r="C95" s="16" t="str">
        <x:v>C002</x:v>
      </x:c>
      <x:c r="D95" s="16" t="str">
        <x:v>SI-260120</x:v>
      </x:c>
      <x:c r="E95" s="42" t="n">
        <x:v>56470.05</x:v>
      </x:c>
      <x:c r="F95" s="16" t="str">
        <x:v>Bank Transfer</x:v>
      </x:c>
      <x:c r="G95" s="16" t="str">
        <x:v>Approved</x:v>
      </x:c>
    </x:row>
    <x:row r="96">
      <x:c r="A96" s="16" t="str">
        <x:v>RC-260094</x:v>
      </x:c>
      <x:c r="B96" s="18" t="n">
        <x:v>46235</x:v>
      </x:c>
      <x:c r="C96" s="16" t="str">
        <x:v>C010</x:v>
      </x:c>
      <x:c r="D96" s="16" t="str">
        <x:v>SI-260121</x:v>
      </x:c>
      <x:c r="E96" s="42" t="n">
        <x:v>6772.42</x:v>
      </x:c>
      <x:c r="F96" s="16" t="str">
        <x:v>Bank Transfer</x:v>
      </x:c>
      <x:c r="G96" s="16" t="str">
        <x:v>Approved</x:v>
      </x:c>
    </x:row>
    <x:row r="97">
      <x:c r="A97" s="16" t="str">
        <x:v>RC-260095</x:v>
      </x:c>
      <x:c r="B97" s="18" t="n">
        <x:v>46253</x:v>
      </x:c>
      <x:c r="C97" s="16" t="str">
        <x:v>C003</x:v>
      </x:c>
      <x:c r="D97" s="16" t="str">
        <x:v>SI-260124</x:v>
      </x:c>
      <x:c r="E97" s="42" t="n">
        <x:v>13360.08</x:v>
      </x:c>
      <x:c r="F97" s="16" t="str">
        <x:v>Bank Transfer</x:v>
      </x:c>
      <x:c r="G97" s="16" t="str">
        <x:v>Approved</x:v>
      </x:c>
    </x:row>
    <x:row r="98">
      <x:c r="A98" s="16" t="str">
        <x:v>RC-260096</x:v>
      </x:c>
      <x:c r="B98" s="18" t="n">
        <x:v>46239</x:v>
      </x:c>
      <x:c r="C98" s="16" t="str">
        <x:v>C010</x:v>
      </x:c>
      <x:c r="D98" s="16" t="str">
        <x:v>SI-260125</x:v>
      </x:c>
      <x:c r="E98" s="42" t="n">
        <x:v>53410.2</x:v>
      </x:c>
      <x:c r="F98" s="16" t="str">
        <x:v>Bank Transfer</x:v>
      </x:c>
      <x:c r="G98" s="16" t="str">
        <x:v>Approved</x:v>
      </x:c>
    </x:row>
    <x:row r="99">
      <x:c r="A99" s="16" t="str">
        <x:v>RC-260097</x:v>
      </x:c>
      <x:c r="B99" s="18" t="n">
        <x:v>46242</x:v>
      </x:c>
      <x:c r="C99" s="16" t="str">
        <x:v>C006</x:v>
      </x:c>
      <x:c r="D99" s="16" t="str">
        <x:v>SI-260128</x:v>
      </x:c>
      <x:c r="E99" s="42" t="n">
        <x:v>22323.08</x:v>
      </x:c>
      <x:c r="F99" s="16" t="str">
        <x:v>Bank Transfer</x:v>
      </x:c>
      <x:c r="G99" s="16" t="str">
        <x:v>Approved</x:v>
      </x:c>
    </x:row>
    <x:row r="100">
      <x:c r="A100" s="16" t="str">
        <x:v>RC-260098</x:v>
      </x:c>
      <x:c r="B100" s="18" t="n">
        <x:v>46228</x:v>
      </x:c>
      <x:c r="C100" s="16" t="str">
        <x:v>C008</x:v>
      </x:c>
      <x:c r="D100" s="16" t="str">
        <x:v>SI-260129</x:v>
      </x:c>
      <x:c r="E100" s="42" t="n">
        <x:v>11089.9</x:v>
      </x:c>
      <x:c r="F100" s="16" t="str">
        <x:v>Bank Transfer</x:v>
      </x:c>
      <x:c r="G100" s="16" t="str">
        <x:v>Approved</x:v>
      </x:c>
    </x:row>
    <x:row r="101">
      <x:c r="A101" s="16" t="str">
        <x:v>RC-260099</x:v>
      </x:c>
      <x:c r="B101" s="18" t="n">
        <x:v>46259</x:v>
      </x:c>
      <x:c r="C101" s="16" t="str">
        <x:v>C005</x:v>
      </x:c>
      <x:c r="D101" s="16" t="str">
        <x:v>SI-260130</x:v>
      </x:c>
      <x:c r="E101" s="42" t="n">
        <x:v>44525.94</x:v>
      </x:c>
      <x:c r="F101" s="16" t="str">
        <x:v>Bank Transfer</x:v>
      </x:c>
      <x:c r="G101" s="16" t="str">
        <x:v>Approved</x:v>
      </x:c>
    </x:row>
    <x:row r="102">
      <x:c r="A102" s="16" t="str">
        <x:v>RC-260100</x:v>
      </x:c>
      <x:c r="B102" s="18" t="n">
        <x:v>46245</x:v>
      </x:c>
      <x:c r="C102" s="16" t="str">
        <x:v>C002</x:v>
      </x:c>
      <x:c r="D102" s="16" t="str">
        <x:v>SI-260131</x:v>
      </x:c>
      <x:c r="E102" s="42" t="n">
        <x:v>35909.6</x:v>
      </x:c>
      <x:c r="F102" s="16" t="str">
        <x:v>Bank Transfer</x:v>
      </x:c>
      <x:c r="G102" s="16" t="str">
        <x:v>Approved</x:v>
      </x:c>
    </x:row>
    <x:row r="103">
      <x:c r="A103" s="16" t="str">
        <x:v>RC-260101</x:v>
      </x:c>
      <x:c r="B103" s="18" t="n">
        <x:v>46231</x:v>
      </x:c>
      <x:c r="C103" s="16" t="str">
        <x:v>C008</x:v>
      </x:c>
      <x:c r="D103" s="16" t="str">
        <x:v>SI-260132</x:v>
      </x:c>
      <x:c r="E103" s="42" t="n">
        <x:v>84480.8</x:v>
      </x:c>
      <x:c r="F103" s="16" t="str">
        <x:v>Bank Transfer</x:v>
      </x:c>
      <x:c r="G103" s="16" t="str">
        <x:v>Approved</x:v>
      </x:c>
    </x:row>
    <x:row r="104">
      <x:c r="A104" s="16" t="str">
        <x:v>RC-260102</x:v>
      </x:c>
      <x:c r="B104" s="18" t="n">
        <x:v>46262</x:v>
      </x:c>
      <x:c r="C104" s="16" t="str">
        <x:v>C005</x:v>
      </x:c>
      <x:c r="D104" s="16" t="str">
        <x:v>SI-260133</x:v>
      </x:c>
      <x:c r="E104" s="42" t="n">
        <x:v>15216.51</x:v>
      </x:c>
      <x:c r="F104" s="16" t="str">
        <x:v>Bank Transfer</x:v>
      </x:c>
      <x:c r="G104" s="16" t="str">
        <x:v>Approved</x:v>
      </x:c>
    </x:row>
    <x:row r="105">
      <x:c r="A105" s="16" t="str">
        <x:v>RC-260103</x:v>
      </x:c>
      <x:c r="B105" s="18" t="n">
        <x:v>46248</x:v>
      </x:c>
      <x:c r="C105" s="16" t="str">
        <x:v>C010</x:v>
      </x:c>
      <x:c r="D105" s="16" t="str">
        <x:v>SI-260134</x:v>
      </x:c>
      <x:c r="E105" s="42" t="n">
        <x:v>7240.05</x:v>
      </x:c>
      <x:c r="F105" s="16" t="str">
        <x:v>Bank Transfer</x:v>
      </x:c>
      <x:c r="G105" s="16" t="str">
        <x:v>Approved</x:v>
      </x:c>
    </x:row>
    <x:row r="106">
      <x:c r="A106" s="16" t="str">
        <x:v>RC-260104</x:v>
      </x:c>
      <x:c r="B106" s="18" t="n">
        <x:v>46249</x:v>
      </x:c>
      <x:c r="C106" s="16" t="str">
        <x:v>C007</x:v>
      </x:c>
      <x:c r="D106" s="16" t="str">
        <x:v>SI-260135</x:v>
      </x:c>
      <x:c r="E106" s="42" t="n">
        <x:v>3223.86</x:v>
      </x:c>
      <x:c r="F106" s="16" t="str">
        <x:v>Bank Transfer</x:v>
      </x:c>
      <x:c r="G106" s="16" t="str">
        <x:v>Approved</x:v>
      </x:c>
    </x:row>
    <x:row r="107">
      <x:c r="A107" s="16" t="str">
        <x:v>RC-260105</x:v>
      </x:c>
      <x:c r="B107" s="18" t="n">
        <x:v>46265</x:v>
      </x:c>
      <x:c r="C107" s="16" t="str">
        <x:v>C005</x:v>
      </x:c>
      <x:c r="D107" s="16" t="str">
        <x:v>SI-260136</x:v>
      </x:c>
      <x:c r="E107" s="42" t="n">
        <x:v>21905.44</x:v>
      </x:c>
      <x:c r="F107" s="16" t="str">
        <x:v>Bank Transfer</x:v>
      </x:c>
      <x:c r="G107" s="16" t="str">
        <x:v>Approved</x:v>
      </x:c>
    </x:row>
    <x:row r="108">
      <x:c r="A108" s="16" t="str">
        <x:v>RC-260106</x:v>
      </x:c>
      <x:c r="B108" s="18" t="n">
        <x:v>46251</x:v>
      </x:c>
      <x:c r="C108" s="16" t="str">
        <x:v>C006</x:v>
      </x:c>
      <x:c r="D108" s="16" t="str">
        <x:v>SI-260137</x:v>
      </x:c>
      <x:c r="E108" s="42" t="n">
        <x:v>48906.9</x:v>
      </x:c>
      <x:c r="F108" s="16" t="str">
        <x:v>Bank Transfer</x:v>
      </x:c>
      <x:c r="G108" s="16" t="str">
        <x:v>Approved</x:v>
      </x:c>
    </x:row>
    <x:row r="109">
      <x:c r="A109" s="16" t="str">
        <x:v>RC-260107</x:v>
      </x:c>
      <x:c r="B109" s="18" t="n">
        <x:v>46252</x:v>
      </x:c>
      <x:c r="C109" s="16" t="str">
        <x:v>C004</x:v>
      </x:c>
      <x:c r="D109" s="16" t="str">
        <x:v>SI-260138</x:v>
      </x:c>
      <x:c r="E109" s="42" t="n">
        <x:v>25703.61</x:v>
      </x:c>
      <x:c r="F109" s="16" t="str">
        <x:v>Bank Transfer</x:v>
      </x:c>
      <x:c r="G109" s="16" t="str">
        <x:v>Approved</x:v>
      </x:c>
    </x:row>
    <x:row r="110">
      <x:c r="A110" s="16" t="str">
        <x:v>RC-260108</x:v>
      </x:c>
      <x:c r="B110" s="18" t="n">
        <x:v>46253</x:v>
      </x:c>
      <x:c r="C110" s="16" t="str">
        <x:v>C002</x:v>
      </x:c>
      <x:c r="D110" s="16" t="str">
        <x:v>SI-260139</x:v>
      </x:c>
      <x:c r="E110" s="42" t="n">
        <x:v>16560.54</x:v>
      </x:c>
      <x:c r="F110" s="16" t="str">
        <x:v>Bank Transfer</x:v>
      </x:c>
      <x:c r="G110" s="16" t="str">
        <x:v>Approved</x:v>
      </x:c>
    </x:row>
    <x:row r="111">
      <x:c r="A111" s="16" t="str">
        <x:v>RC-260109</x:v>
      </x:c>
      <x:c r="B111" s="18" t="n">
        <x:v>46269</x:v>
      </x:c>
      <x:c r="C111" s="16" t="str">
        <x:v>C005</x:v>
      </x:c>
      <x:c r="D111" s="16" t="str">
        <x:v>SI-260140</x:v>
      </x:c>
      <x:c r="E111" s="42" t="n">
        <x:v>10941.74</x:v>
      </x:c>
      <x:c r="F111" s="16" t="str">
        <x:v>Bank Transfer</x:v>
      </x:c>
      <x:c r="G111" s="16" t="str">
        <x:v>Approved</x:v>
      </x:c>
    </x:row>
    <x:row r="112">
      <x:c r="A112" s="16" t="str">
        <x:v>RC-260110</x:v>
      </x:c>
      <x:c r="B112" s="18" t="n">
        <x:v>46266</x:v>
      </x:c>
      <x:c r="C112" s="16" t="str">
        <x:v>C001</x:v>
      </x:c>
      <x:c r="D112" s="16" t="str">
        <x:v>SI-260141</x:v>
      </x:c>
      <x:c r="E112" s="42" t="n">
        <x:v>23414.92</x:v>
      </x:c>
      <x:c r="F112" s="16" t="str">
        <x:v>Bank Transfer</x:v>
      </x:c>
      <x:c r="G112" s="16" t="str">
        <x:v>Approved</x:v>
      </x:c>
    </x:row>
    <x:row r="113">
      <x:c r="A113" s="16" t="str">
        <x:v>RC-260111</x:v>
      </x:c>
      <x:c r="B113" s="18" t="n">
        <x:v>46253</x:v>
      </x:c>
      <x:c r="C113" s="16" t="str">
        <x:v>C008</x:v>
      </x:c>
      <x:c r="D113" s="16" t="str">
        <x:v>SI-260143</x:v>
      </x:c>
      <x:c r="E113" s="42" t="n">
        <x:v>63639.53</x:v>
      </x:c>
      <x:c r="F113" s="16" t="str">
        <x:v>Bank Transfer</x:v>
      </x:c>
      <x:c r="G113" s="16" t="str">
        <x:v>Approved</x:v>
      </x:c>
    </x:row>
    <x:row r="114">
      <x:c r="A114" s="16" t="str">
        <x:v>RC-260112</x:v>
      </x:c>
      <x:c r="B114" s="18" t="n">
        <x:v>46255</x:v>
      </x:c>
      <x:c r="C114" s="16" t="str">
        <x:v>C008</x:v>
      </x:c>
      <x:c r="D114" s="16" t="str">
        <x:v>SI-260145</x:v>
      </x:c>
      <x:c r="E114" s="42" t="n">
        <x:v>39339.72</x:v>
      </x:c>
      <x:c r="F114" s="16" t="str">
        <x:v>Bank Transfer</x:v>
      </x:c>
      <x:c r="G114" s="16" t="str">
        <x:v>Approved</x:v>
      </x:c>
    </x:row>
    <x:row r="115">
      <x:c r="A115" s="16" t="str">
        <x:v>RC-260113</x:v>
      </x:c>
      <x:c r="B115" s="18" t="n">
        <x:v>46286</x:v>
      </x:c>
      <x:c r="C115" s="16" t="str">
        <x:v>C003</x:v>
      </x:c>
      <x:c r="D115" s="16" t="str">
        <x:v>SI-260146</x:v>
      </x:c>
      <x:c r="E115" s="42" t="n">
        <x:v>17281.99</x:v>
      </x:c>
      <x:c r="F115" s="16" t="str">
        <x:v>Bank Transfer</x:v>
      </x:c>
      <x:c r="G115" s="16" t="str">
        <x:v>Approved</x:v>
      </x:c>
    </x:row>
    <x:row r="116">
      <x:c r="A116" s="16" t="str">
        <x:v>RC-260114</x:v>
      </x:c>
      <x:c r="B116" s="18" t="n">
        <x:v>46272</x:v>
      </x:c>
      <x:c r="C116" s="16" t="str">
        <x:v>C004</x:v>
      </x:c>
      <x:c r="D116" s="16" t="str">
        <x:v>SI-260147</x:v>
      </x:c>
      <x:c r="E116" s="42" t="n">
        <x:v>38675.26</x:v>
      </x:c>
      <x:c r="F116" s="16" t="str">
        <x:v>Bank Transfer</x:v>
      </x:c>
      <x:c r="G116" s="16" t="str">
        <x:v>Approved</x:v>
      </x:c>
    </x:row>
    <x:row r="117">
      <x:c r="A117" s="16" t="str">
        <x:v>RC-260115</x:v>
      </x:c>
      <x:c r="B117" s="18" t="n">
        <x:v>46288</x:v>
      </x:c>
      <x:c r="C117" s="16" t="str">
        <x:v>C009</x:v>
      </x:c>
      <x:c r="D117" s="16" t="str">
        <x:v>SI-260148</x:v>
      </x:c>
      <x:c r="E117" s="42" t="n">
        <x:v>20098.43</x:v>
      </x:c>
      <x:c r="F117" s="16" t="str">
        <x:v>Bank Transfer</x:v>
      </x:c>
      <x:c r="G117" s="16" t="str">
        <x:v>Approved</x:v>
      </x:c>
    </x:row>
    <x:row r="118">
      <x:c r="A118" s="16" t="str">
        <x:v>RC-260116</x:v>
      </x:c>
      <x:c r="B118" s="18" t="n">
        <x:v>46274</x:v>
      </x:c>
      <x:c r="C118" s="16" t="str">
        <x:v>C010</x:v>
      </x:c>
      <x:c r="D118" s="16" t="str">
        <x:v>SI-260149</x:v>
      </x:c>
      <x:c r="E118" s="42" t="n">
        <x:v>39538.3</x:v>
      </x:c>
      <x:c r="F118" s="16" t="str">
        <x:v>Bank Transfer</x:v>
      </x:c>
      <x:c r="G118" s="16" t="str">
        <x:v>Approved</x:v>
      </x:c>
    </x:row>
    <x:row r="119">
      <x:c r="A119" s="16" t="str">
        <x:v>RC-260117</x:v>
      </x:c>
      <x:c r="B119" s="18" t="n">
        <x:v>46275</x:v>
      </x:c>
      <x:c r="C119" s="16" t="str">
        <x:v>C010</x:v>
      </x:c>
      <x:c r="D119" s="16" t="str">
        <x:v>SI-260150</x:v>
      </x:c>
      <x:c r="E119" s="42" t="n">
        <x:v>48665.01</x:v>
      </x:c>
      <x:c r="F119" s="16" t="str">
        <x:v>Bank Transfer</x:v>
      </x:c>
      <x:c r="G119" s="16" t="str">
        <x:v>Approved</x:v>
      </x:c>
    </x:row>
    <x:row r="120">
      <x:c r="A120" s="16" t="str">
        <x:v>RC-260118</x:v>
      </x:c>
      <x:c r="B120" s="18" t="n">
        <x:v>46291</x:v>
      </x:c>
      <x:c r="C120" s="16" t="str">
        <x:v>C005</x:v>
      </x:c>
      <x:c r="D120" s="16" t="str">
        <x:v>SI-260151</x:v>
      </x:c>
      <x:c r="E120" s="42" t="n">
        <x:v>13605.48</x:v>
      </x:c>
      <x:c r="F120" s="16" t="str">
        <x:v>Bank Transfer</x:v>
      </x:c>
      <x:c r="G120" s="16" t="str">
        <x:v>Approved</x:v>
      </x:c>
    </x:row>
    <x:row r="121">
      <x:c r="A121" s="16" t="str">
        <x:v>RC-260119</x:v>
      </x:c>
      <x:c r="B121" s="18" t="n">
        <x:v>46293</x:v>
      </x:c>
      <x:c r="C121" s="16" t="str">
        <x:v>C005</x:v>
      </x:c>
      <x:c r="D121" s="16" t="str">
        <x:v>SI-260153</x:v>
      </x:c>
      <x:c r="E121" s="42" t="n">
        <x:v>8252.76</x:v>
      </x:c>
      <x:c r="F121" s="16" t="str">
        <x:v>Bank Transfer</x:v>
      </x:c>
      <x:c r="G121" s="16" t="str">
        <x:v>Approved</x:v>
      </x:c>
    </x:row>
    <x:row r="122">
      <x:c r="A122" s="16" t="str">
        <x:v>RC-260120</x:v>
      </x:c>
      <x:c r="B122" s="18" t="n">
        <x:v>46264</x:v>
      </x:c>
      <x:c r="C122" s="16" t="str">
        <x:v>C008</x:v>
      </x:c>
      <x:c r="D122" s="16" t="str">
        <x:v>SI-260154</x:v>
      </x:c>
      <x:c r="E122" s="42" t="n">
        <x:v>30825.51</x:v>
      </x:c>
      <x:c r="F122" s="16" t="str">
        <x:v>Bank Transfer</x:v>
      </x:c>
      <x:c r="G122" s="16" t="str">
        <x:v>Approved</x:v>
      </x:c>
    </x:row>
    <x:row r="123">
      <x:c r="A123" s="16" t="str">
        <x:v>RC-260121</x:v>
      </x:c>
      <x:c r="B123" s="18" t="n">
        <x:v>46280</x:v>
      </x:c>
      <x:c r="C123" s="16" t="str">
        <x:v>C010</x:v>
      </x:c>
      <x:c r="D123" s="16" t="str">
        <x:v>SI-260155</x:v>
      </x:c>
      <x:c r="E123" s="42" t="n">
        <x:v>22035.56</x:v>
      </x:c>
      <x:c r="F123" s="16" t="str">
        <x:v>Bank Transfer</x:v>
      </x:c>
      <x:c r="G123" s="16" t="str">
        <x:v>Approved</x:v>
      </x:c>
    </x:row>
    <x:row r="124">
      <x:c r="A124" s="16" t="str">
        <x:v>RC-260122</x:v>
      </x:c>
      <x:c r="B124" s="18" t="n">
        <x:v>46295</x:v>
      </x:c>
      <x:c r="C124" s="16" t="str">
        <x:v>C003</x:v>
      </x:c>
      <x:c r="D124" s="16" t="str">
        <x:v>SI-260156</x:v>
      </x:c>
      <x:c r="E124" s="42" t="n">
        <x:v>15526.35</x:v>
      </x:c>
      <x:c r="F124" s="16" t="str">
        <x:v>Bank Transfer</x:v>
      </x:c>
      <x:c r="G124" s="16" t="str">
        <x:v>Approved</x:v>
      </x:c>
    </x:row>
    <x:row r="125">
      <x:c r="A125" s="16" t="str">
        <x:v>RC-260123</x:v>
      </x:c>
      <x:c r="B125" s="18" t="n">
        <x:v>46295</x:v>
      </x:c>
      <x:c r="C125" s="16" t="str">
        <x:v>C005</x:v>
      </x:c>
      <x:c r="D125" s="16" t="str">
        <x:v>SI-260157</x:v>
      </x:c>
      <x:c r="E125" s="42" t="n">
        <x:v>21286.65</x:v>
      </x:c>
      <x:c r="F125" s="16" t="str">
        <x:v>Bank Transfer</x:v>
      </x:c>
      <x:c r="G125" s="16" t="str">
        <x:v>Approved</x:v>
      </x:c>
    </x:row>
    <x:row r="126">
      <x:c r="A126" s="16" t="str">
        <x:v>RC-260124</x:v>
      </x:c>
      <x:c r="B126" s="18" t="n">
        <x:v>46284</x:v>
      </x:c>
      <x:c r="C126" s="16" t="str">
        <x:v>C002</x:v>
      </x:c>
      <x:c r="D126" s="16" t="str">
        <x:v>SI-260159</x:v>
      </x:c>
      <x:c r="E126" s="42" t="n">
        <x:v>11403.12</x:v>
      </x:c>
      <x:c r="F126" s="16" t="str">
        <x:v>Bank Transfer</x:v>
      </x:c>
      <x:c r="G126" s="16" t="str">
        <x:v>Approved</x:v>
      </x:c>
    </x:row>
    <x:row r="127">
      <x:c r="A127" s="16" t="str">
        <x:v>RC-260125</x:v>
      </x:c>
      <x:c r="B127" s="18" t="n">
        <x:v>46285</x:v>
      </x:c>
      <x:c r="C127" s="16" t="str">
        <x:v>C001</x:v>
      </x:c>
      <x:c r="D127" s="16" t="str">
        <x:v>SI-260160</x:v>
      </x:c>
      <x:c r="E127" s="42" t="n">
        <x:v>18977.53</x:v>
      </x:c>
      <x:c r="F127" s="16" t="str">
        <x:v>Bank Transfer</x:v>
      </x:c>
      <x:c r="G127" s="16" t="str">
        <x:v>Approved</x:v>
      </x:c>
    </x:row>
    <x:row r="128">
      <x:c r="A128" s="16" t="str">
        <x:v>RC-260126</x:v>
      </x:c>
      <x:c r="B128" s="18" t="n">
        <x:v>46284</x:v>
      </x:c>
      <x:c r="C128" s="16" t="str">
        <x:v>C008</x:v>
      </x:c>
      <x:c r="D128" s="16" t="str">
        <x:v>SI-260163</x:v>
      </x:c>
      <x:c r="E128" s="42" t="n">
        <x:v>20354.48</x:v>
      </x:c>
      <x:c r="F128" s="16" t="str">
        <x:v>Bank Transfer</x:v>
      </x:c>
      <x:c r="G128" s="16" t="str">
        <x:v>Approved</x:v>
      </x:c>
    </x:row>
    <x:row r="129">
      <x:c r="A129" s="16" t="str">
        <x:v>RC-260127</x:v>
      </x:c>
      <x:c r="B129" s="18" t="n">
        <x:v>46290</x:v>
      </x:c>
      <x:c r="C129" s="16" t="str">
        <x:v>C008</x:v>
      </x:c>
      <x:c r="D129" s="16" t="str">
        <x:v>SI-260169</x:v>
      </x:c>
      <x:c r="E129" s="42" t="n">
        <x:v>10414.66</x:v>
      </x:c>
      <x:c r="F129" s="16" t="str">
        <x:v>Bank Transfer</x:v>
      </x:c>
      <x:c r="G129" s="16" t="str">
        <x:v>Approved</x:v>
      </x:c>
    </x:row>
    <x:row r="130">
      <x:c r="A130" s="16" t="str">
        <x:v>RC-260128</x:v>
      </x:c>
      <x:c r="B130" s="18" t="n">
        <x:v>46295</x:v>
      </x:c>
      <x:c r="C130" s="16" t="str">
        <x:v>C005</x:v>
      </x:c>
      <x:c r="D130" s="16" t="str">
        <x:v>SI-260170</x:v>
      </x:c>
      <x:c r="E130" s="42" t="n">
        <x:v>121481.17</x:v>
      </x:c>
      <x:c r="F130" s="16" t="str">
        <x:v>Bank Transfer</x:v>
      </x:c>
      <x:c r="G130" s="16" t="str">
        <x:v>Approved</x:v>
      </x:c>
    </x:row>
    <x:row r="131">
      <x:c r="A131" s="16" t="str">
        <x:v>RC-260129</x:v>
      </x:c>
      <x:c r="B131" s="18" t="n">
        <x:v>46295</x:v>
      </x:c>
      <x:c r="C131" s="16" t="str">
        <x:v>C010</x:v>
      </x:c>
      <x:c r="D131" s="16" t="str">
        <x:v>SI-260171</x:v>
      </x:c>
      <x:c r="E131" s="42" t="n">
        <x:v>34630.6</x:v>
      </x:c>
      <x:c r="F131" s="16" t="str">
        <x:v>Bank Transfer</x:v>
      </x:c>
      <x:c r="G131" s="16" t="str">
        <x:v>Approved</x:v>
      </x:c>
    </x:row>
    <x:row r="132">
      <x:c r="A132" s="16" t="str">
        <x:v>RC-260130</x:v>
      </x:c>
      <x:c r="B132" s="18" t="n">
        <x:v>46295</x:v>
      </x:c>
      <x:c r="C132" s="16" t="str">
        <x:v>C009</x:v>
      </x:c>
      <x:c r="D132" s="16" t="str">
        <x:v>SI-260172</x:v>
      </x:c>
      <x:c r="E132" s="42" t="n">
        <x:v>17110.8</x:v>
      </x:c>
      <x:c r="F132" s="16" t="str">
        <x:v>Bank Transfer</x:v>
      </x:c>
      <x:c r="G132" s="16" t="str">
        <x:v>Approved</x:v>
      </x:c>
    </x:row>
    <x:row r="133">
      <x:c r="A133" s="16" t="str">
        <x:v>RC-260131</x:v>
      </x:c>
      <x:c r="B133" s="18" t="n">
        <x:v>46295</x:v>
      </x:c>
      <x:c r="C133" s="16" t="str">
        <x:v>C004</x:v>
      </x:c>
      <x:c r="D133" s="16" t="str">
        <x:v>SI-260175</x:v>
      </x:c>
      <x:c r="E133" s="42" t="n">
        <x:v>95405.06</x:v>
      </x:c>
      <x:c r="F133" s="16" t="str">
        <x:v>Bank Transfer</x:v>
      </x:c>
      <x:c r="G133" s="16" t="str">
        <x:v>Approved</x:v>
      </x:c>
    </x:row>
    <x:row r="134">
      <x:c r="A134" s="16" t="str">
        <x:v>RC-260132</x:v>
      </x:c>
      <x:c r="B134" s="18" t="n">
        <x:v>46295</x:v>
      </x:c>
      <x:c r="C134" s="16" t="str">
        <x:v>C006</x:v>
      </x:c>
      <x:c r="D134" s="16" t="str">
        <x:v>SI-260177</x:v>
      </x:c>
      <x:c r="E134" s="42" t="n">
        <x:v>2983.31</x:v>
      </x:c>
      <x:c r="F134" s="16" t="str">
        <x:v>Bank Transfer</x:v>
      </x:c>
      <x:c r="G134" s="16" t="str">
        <x:v>Approved</x:v>
      </x:c>
    </x:row>
    <x:row r="135">
      <x:c r="A135" s="16" t="str">
        <x:v>RC-260133</x:v>
      </x:c>
      <x:c r="B135" s="18" t="n">
        <x:v>46295</x:v>
      </x:c>
      <x:c r="C135" s="16" t="str">
        <x:v>C008</x:v>
      </x:c>
      <x:c r="D135" s="16" t="str">
        <x:v>SI-260180</x:v>
      </x:c>
      <x:c r="E135" s="42" t="n">
        <x:v>5409.09</x:v>
      </x:c>
      <x:c r="F135" s="16" t="str">
        <x:v>Bank Transfer</x:v>
      </x:c>
      <x:c r="G135" s="16" t="str">
        <x:v>Approved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aae401488b74f7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</x:cols>
  <x:sheetData>
    <x:row r="1">
      <x:c r="A1" s="70" t="str">
        <x:v>TXN_Vendor_Payments</x:v>
      </x:c>
    </x:row>
    <x:row r="2">
      <x:c r="A2" s="26" t="str">
        <x:v>Payment_ID</x:v>
      </x:c>
      <x:c r="B2" s="26" t="str">
        <x:v>Payment_Date</x:v>
      </x:c>
      <x:c r="C2" s="26" t="str">
        <x:v>Vendor_ID</x:v>
      </x:c>
      <x:c r="D2" s="26" t="str">
        <x:v>Bill_ID</x:v>
      </x:c>
      <x:c r="E2" s="26" t="str">
        <x:v>Amount_USD</x:v>
      </x:c>
      <x:c r="F2" s="26" t="str">
        <x:v>Method</x:v>
      </x:c>
      <x:c r="G2" s="26" t="str">
        <x:v>Approval_Status</x:v>
      </x:c>
    </x:row>
    <x:row r="3">
      <x:c r="A3" s="16" t="str">
        <x:v>PAY-260001</x:v>
      </x:c>
      <x:c r="B3" s="18" t="n">
        <x:v>46058</x:v>
      </x:c>
      <x:c r="C3" s="16" t="str">
        <x:v>V001</x:v>
      </x:c>
      <x:c r="D3" s="16" t="str">
        <x:v>PI-260002</x:v>
      </x:c>
      <x:c r="E3" s="42" t="n">
        <x:v>11244.06</x:v>
      </x:c>
      <x:c r="F3" s="16" t="str">
        <x:v>Bank Transfer</x:v>
      </x:c>
      <x:c r="G3" s="16" t="str">
        <x:v>Approved</x:v>
      </x:c>
    </x:row>
    <x:row r="4">
      <x:c r="A4" s="16" t="str">
        <x:v>PAY-260002</x:v>
      </x:c>
      <x:c r="B4" s="18" t="n">
        <x:v>46061</x:v>
      </x:c>
      <x:c r="C4" s="16" t="str">
        <x:v>V001</x:v>
      </x:c>
      <x:c r="D4" s="16" t="str">
        <x:v>PI-260003</x:v>
      </x:c>
      <x:c r="E4" s="42" t="n">
        <x:v>32592.79</x:v>
      </x:c>
      <x:c r="F4" s="16" t="str">
        <x:v>Bank Transfer</x:v>
      </x:c>
      <x:c r="G4" s="16" t="str">
        <x:v>Approved</x:v>
      </x:c>
    </x:row>
    <x:row r="5">
      <x:c r="A5" s="16" t="str">
        <x:v>PAY-260003</x:v>
      </x:c>
      <x:c r="B5" s="18" t="n">
        <x:v>46064</x:v>
      </x:c>
      <x:c r="C5" s="16" t="str">
        <x:v>V001</x:v>
      </x:c>
      <x:c r="D5" s="16" t="str">
        <x:v>PI-260004</x:v>
      </x:c>
      <x:c r="E5" s="42" t="n">
        <x:v>26373.12</x:v>
      </x:c>
      <x:c r="F5" s="16" t="str">
        <x:v>Bank Transfer</x:v>
      </x:c>
      <x:c r="G5" s="16" t="str">
        <x:v>Approved</x:v>
      </x:c>
    </x:row>
    <x:row r="6">
      <x:c r="A6" s="16" t="str">
        <x:v>PAY-260004</x:v>
      </x:c>
      <x:c r="B6" s="18" t="n">
        <x:v>46070</x:v>
      </x:c>
      <x:c r="C6" s="16" t="str">
        <x:v>V001</x:v>
      </x:c>
      <x:c r="D6" s="16" t="str">
        <x:v>PI-260006</x:v>
      </x:c>
      <x:c r="E6" s="42" t="n">
        <x:v>53020.32</x:v>
      </x:c>
      <x:c r="F6" s="16" t="str">
        <x:v>Bank Transfer</x:v>
      </x:c>
      <x:c r="G6" s="16" t="str">
        <x:v>Approved</x:v>
      </x:c>
    </x:row>
    <x:row r="7">
      <x:c r="A7" s="16" t="str">
        <x:v>PAY-260005</x:v>
      </x:c>
      <x:c r="B7" s="18" t="n">
        <x:v>46077</x:v>
      </x:c>
      <x:c r="C7" s="16" t="str">
        <x:v>V002</x:v>
      </x:c>
      <x:c r="D7" s="16" t="str">
        <x:v>PI-260011</x:v>
      </x:c>
      <x:c r="E7" s="42" t="n">
        <x:v>15218.7</x:v>
      </x:c>
      <x:c r="F7" s="16" t="str">
        <x:v>Bank Transfer</x:v>
      </x:c>
      <x:c r="G7" s="16" t="str">
        <x:v>Approved</x:v>
      </x:c>
    </x:row>
    <x:row r="8">
      <x:c r="A8" s="16" t="str">
        <x:v>PAY-260006</x:v>
      </x:c>
      <x:c r="B8" s="18" t="n">
        <x:v>46089</x:v>
      </x:c>
      <x:c r="C8" s="16" t="str">
        <x:v>V001</x:v>
      </x:c>
      <x:c r="D8" s="16" t="str">
        <x:v>PI-260013</x:v>
      </x:c>
      <x:c r="E8" s="42" t="n">
        <x:v>17887.75</x:v>
      </x:c>
      <x:c r="F8" s="16" t="str">
        <x:v>Bank Transfer</x:v>
      </x:c>
      <x:c r="G8" s="16" t="str">
        <x:v>Approved</x:v>
      </x:c>
    </x:row>
    <x:row r="9">
      <x:c r="A9" s="16" t="str">
        <x:v>PAY-260007</x:v>
      </x:c>
      <x:c r="B9" s="18" t="n">
        <x:v>46095</x:v>
      </x:c>
      <x:c r="C9" s="16" t="str">
        <x:v>V001</x:v>
      </x:c>
      <x:c r="D9" s="16" t="str">
        <x:v>PI-260015</x:v>
      </x:c>
      <x:c r="E9" s="42" t="n">
        <x:v>12910.59</x:v>
      </x:c>
      <x:c r="F9" s="16" t="str">
        <x:v>Bank Transfer</x:v>
      </x:c>
      <x:c r="G9" s="16" t="str">
        <x:v>Approved</x:v>
      </x:c>
    </x:row>
    <x:row r="10">
      <x:c r="A10" s="16" t="str">
        <x:v>PAY-260008</x:v>
      </x:c>
      <x:c r="B10" s="18" t="n">
        <x:v>46098</x:v>
      </x:c>
      <x:c r="C10" s="16" t="str">
        <x:v>V001</x:v>
      </x:c>
      <x:c r="D10" s="16" t="str">
        <x:v>PI-260016</x:v>
      </x:c>
      <x:c r="E10" s="42" t="n">
        <x:v>50026.98</x:v>
      </x:c>
      <x:c r="F10" s="16" t="str">
        <x:v>Bank Transfer</x:v>
      </x:c>
      <x:c r="G10" s="16" t="str">
        <x:v>Approved</x:v>
      </x:c>
    </x:row>
    <x:row r="11">
      <x:c r="A11" s="16" t="str">
        <x:v>PAY-260009</x:v>
      </x:c>
      <x:c r="B11" s="18" t="n">
        <x:v>46101</x:v>
      </x:c>
      <x:c r="C11" s="16" t="str">
        <x:v>V001</x:v>
      </x:c>
      <x:c r="D11" s="16" t="str">
        <x:v>PI-260017</x:v>
      </x:c>
      <x:c r="E11" s="42" t="n">
        <x:v>20573.13</x:v>
      </x:c>
      <x:c r="F11" s="16" t="str">
        <x:v>Bank Transfer</x:v>
      </x:c>
      <x:c r="G11" s="16" t="str">
        <x:v>Approved</x:v>
      </x:c>
    </x:row>
    <x:row r="12">
      <x:c r="A12" s="16" t="str">
        <x:v>PAY-260010</x:v>
      </x:c>
      <x:c r="B12" s="18" t="n">
        <x:v>46107</x:v>
      </x:c>
      <x:c r="C12" s="16" t="str">
        <x:v>V003</x:v>
      </x:c>
      <x:c r="D12" s="16" t="str">
        <x:v>PI-260018</x:v>
      </x:c>
      <x:c r="E12" s="42" t="n">
        <x:v>10075.8</x:v>
      </x:c>
      <x:c r="F12" s="16" t="str">
        <x:v>Bank Transfer</x:v>
      </x:c>
      <x:c r="G12" s="16" t="str">
        <x:v>Approved</x:v>
      </x:c>
    </x:row>
    <x:row r="13">
      <x:c r="A13" s="16" t="str">
        <x:v>PAY-260011</x:v>
      </x:c>
      <x:c r="B13" s="18" t="n">
        <x:v>46103</x:v>
      </x:c>
      <x:c r="C13" s="16" t="str">
        <x:v>V008</x:v>
      </x:c>
      <x:c r="D13" s="16" t="str">
        <x:v>PI-260019</x:v>
      </x:c>
      <x:c r="E13" s="42" t="n">
        <x:v>4082.4</x:v>
      </x:c>
      <x:c r="F13" s="16" t="str">
        <x:v>Bank Transfer</x:v>
      </x:c>
      <x:c r="G13" s="16" t="str">
        <x:v>Approved</x:v>
      </x:c>
    </x:row>
    <x:row r="14">
      <x:c r="A14" s="16" t="str">
        <x:v>PAY-260012</x:v>
      </x:c>
      <x:c r="B14" s="18" t="n">
        <x:v>46102</x:v>
      </x:c>
      <x:c r="C14" s="16" t="str">
        <x:v>V002</x:v>
      </x:c>
      <x:c r="D14" s="16" t="str">
        <x:v>PI-260021</x:v>
      </x:c>
      <x:c r="E14" s="42" t="n">
        <x:v>11217.15</x:v>
      </x:c>
      <x:c r="F14" s="16" t="str">
        <x:v>Bank Transfer</x:v>
      </x:c>
      <x:c r="G14" s="16" t="str">
        <x:v>Approved</x:v>
      </x:c>
    </x:row>
    <x:row r="15">
      <x:c r="A15" s="16" t="str">
        <x:v>PAY-260013</x:v>
      </x:c>
      <x:c r="B15" s="18" t="n">
        <x:v>46102</x:v>
      </x:c>
      <x:c r="C15" s="16" t="str">
        <x:v>V006</x:v>
      </x:c>
      <x:c r="D15" s="16" t="str">
        <x:v>PI-260022</x:v>
      </x:c>
      <x:c r="E15" s="42" t="n">
        <x:v>5623.8</x:v>
      </x:c>
      <x:c r="F15" s="16" t="str">
        <x:v>Bank Transfer</x:v>
      </x:c>
      <x:c r="G15" s="16" t="str">
        <x:v>Approved</x:v>
      </x:c>
    </x:row>
    <x:row r="16">
      <x:c r="A16" s="16" t="str">
        <x:v>PAY-260014</x:v>
      </x:c>
      <x:c r="B16" s="18" t="n">
        <x:v>46114</x:v>
      </x:c>
      <x:c r="C16" s="16" t="str">
        <x:v>V001</x:v>
      </x:c>
      <x:c r="D16" s="16" t="str">
        <x:v>PI-260023</x:v>
      </x:c>
      <x:c r="E16" s="42" t="n">
        <x:v>30304.73</x:v>
      </x:c>
      <x:c r="F16" s="16" t="str">
        <x:v>Bank Transfer</x:v>
      </x:c>
      <x:c r="G16" s="16" t="str">
        <x:v>Approved</x:v>
      </x:c>
    </x:row>
    <x:row r="17">
      <x:c r="A17" s="16" t="str">
        <x:v>PAY-260015</x:v>
      </x:c>
      <x:c r="B17" s="18" t="n">
        <x:v>46126</x:v>
      </x:c>
      <x:c r="C17" s="16" t="str">
        <x:v>V001</x:v>
      </x:c>
      <x:c r="D17" s="16" t="str">
        <x:v>PI-260027</x:v>
      </x:c>
      <x:c r="E17" s="42" t="n">
        <x:v>25455.76</x:v>
      </x:c>
      <x:c r="F17" s="16" t="str">
        <x:v>Bank Transfer</x:v>
      </x:c>
      <x:c r="G17" s="16" t="str">
        <x:v>Approved</x:v>
      </x:c>
    </x:row>
    <x:row r="18">
      <x:c r="A18" s="16" t="str">
        <x:v>PAY-260016</x:v>
      </x:c>
      <x:c r="B18" s="18" t="n">
        <x:v>46129</x:v>
      </x:c>
      <x:c r="C18" s="16" t="str">
        <x:v>V001</x:v>
      </x:c>
      <x:c r="D18" s="16" t="str">
        <x:v>PI-260028</x:v>
      </x:c>
      <x:c r="E18" s="42" t="n">
        <x:v>39666.92</x:v>
      </x:c>
      <x:c r="F18" s="16" t="str">
        <x:v>Bank Transfer</x:v>
      </x:c>
      <x:c r="G18" s="16" t="str">
        <x:v>Approved</x:v>
      </x:c>
    </x:row>
    <x:row r="19">
      <x:c r="A19" s="16" t="str">
        <x:v>PAY-260017</x:v>
      </x:c>
      <x:c r="B19" s="18" t="n">
        <x:v>46123</x:v>
      </x:c>
      <x:c r="C19" s="16" t="str">
        <x:v>V002</x:v>
      </x:c>
      <x:c r="D19" s="16" t="str">
        <x:v>PI-260030</x:v>
      </x:c>
      <x:c r="E19" s="42" t="n">
        <x:v>17776.5</x:v>
      </x:c>
      <x:c r="F19" s="16" t="str">
        <x:v>Bank Transfer</x:v>
      </x:c>
      <x:c r="G19" s="16" t="str">
        <x:v>Approved</x:v>
      </x:c>
    </x:row>
    <x:row r="20">
      <x:c r="A20" s="16" t="str">
        <x:v>PAY-260018</x:v>
      </x:c>
      <x:c r="B20" s="18" t="n">
        <x:v>46135</x:v>
      </x:c>
      <x:c r="C20" s="16" t="str">
        <x:v>V006</x:v>
      </x:c>
      <x:c r="D20" s="16" t="str">
        <x:v>PI-260031</x:v>
      </x:c>
      <x:c r="E20" s="42" t="n">
        <x:v>5305.65</x:v>
      </x:c>
      <x:c r="F20" s="16" t="str">
        <x:v>Bank Transfer</x:v>
      </x:c>
      <x:c r="G20" s="16" t="str">
        <x:v>Approved</x:v>
      </x:c>
    </x:row>
    <x:row r="21">
      <x:c r="A21" s="16" t="str">
        <x:v>PAY-260019</x:v>
      </x:c>
      <x:c r="B21" s="18" t="n">
        <x:v>46136</x:v>
      </x:c>
      <x:c r="C21" s="16" t="str">
        <x:v>V003</x:v>
      </x:c>
      <x:c r="D21" s="16" t="str">
        <x:v>PI-260032</x:v>
      </x:c>
      <x:c r="E21" s="42" t="n">
        <x:v>5034.75</x:v>
      </x:c>
      <x:c r="F21" s="16" t="str">
        <x:v>Bank Transfer</x:v>
      </x:c>
      <x:c r="G21" s="16" t="str">
        <x:v>Approved</x:v>
      </x:c>
    </x:row>
    <x:row r="22">
      <x:c r="A22" s="16" t="str">
        <x:v>PAY-260020</x:v>
      </x:c>
      <x:c r="B22" s="18" t="n">
        <x:v>46145</x:v>
      </x:c>
      <x:c r="C22" s="16" t="str">
        <x:v>V001</x:v>
      </x:c>
      <x:c r="D22" s="16" t="str">
        <x:v>PI-260034</x:v>
      </x:c>
      <x:c r="E22" s="42" t="n">
        <x:v>36769.13</x:v>
      </x:c>
      <x:c r="F22" s="16" t="str">
        <x:v>Bank Transfer</x:v>
      </x:c>
      <x:c r="G22" s="16" t="str">
        <x:v>Approved</x:v>
      </x:c>
    </x:row>
    <x:row r="23">
      <x:c r="A23" s="16" t="str">
        <x:v>PAY-260021</x:v>
      </x:c>
      <x:c r="B23" s="18" t="n">
        <x:v>46151</x:v>
      </x:c>
      <x:c r="C23" s="16" t="str">
        <x:v>V001</x:v>
      </x:c>
      <x:c r="D23" s="16" t="str">
        <x:v>PI-260036</x:v>
      </x:c>
      <x:c r="E23" s="42" t="n">
        <x:v>10041.1</x:v>
      </x:c>
      <x:c r="F23" s="16" t="str">
        <x:v>Bank Transfer</x:v>
      </x:c>
      <x:c r="G23" s="16" t="str">
        <x:v>Approved</x:v>
      </x:c>
    </x:row>
    <x:row r="24">
      <x:c r="A24" s="16" t="str">
        <x:v>PAY-260022</x:v>
      </x:c>
      <x:c r="B24" s="18" t="n">
        <x:v>46164</x:v>
      </x:c>
      <x:c r="C24" s="16" t="str">
        <x:v>V002</x:v>
      </x:c>
      <x:c r="D24" s="16" t="str">
        <x:v>PI-260040</x:v>
      </x:c>
      <x:c r="E24" s="42" t="n">
        <x:v>13116.6</x:v>
      </x:c>
      <x:c r="F24" s="16" t="str">
        <x:v>Bank Transfer</x:v>
      </x:c>
      <x:c r="G24" s="16" t="str">
        <x:v>Approved</x:v>
      </x:c>
    </x:row>
    <x:row r="25">
      <x:c r="A25" s="16" t="str">
        <x:v>PAY-260023</x:v>
      </x:c>
      <x:c r="B25" s="18" t="n">
        <x:v>46175</x:v>
      </x:c>
      <x:c r="C25" s="16" t="str">
        <x:v>V001</x:v>
      </x:c>
      <x:c r="D25" s="16" t="str">
        <x:v>PI-260045</x:v>
      </x:c>
      <x:c r="E25" s="42" t="n">
        <x:v>13544.56</x:v>
      </x:c>
      <x:c r="F25" s="16" t="str">
        <x:v>Bank Transfer</x:v>
      </x:c>
      <x:c r="G25" s="16" t="str">
        <x:v>Approved</x:v>
      </x:c>
    </x:row>
    <x:row r="26">
      <x:c r="A26" s="16" t="str">
        <x:v>PAY-260024</x:v>
      </x:c>
      <x:c r="B26" s="18" t="n">
        <x:v>46178</x:v>
      </x:c>
      <x:c r="C26" s="16" t="str">
        <x:v>V001</x:v>
      </x:c>
      <x:c r="D26" s="16" t="str">
        <x:v>PI-260046</x:v>
      </x:c>
      <x:c r="E26" s="42" t="n">
        <x:v>19741.84</x:v>
      </x:c>
      <x:c r="F26" s="16" t="str">
        <x:v>Bank Transfer</x:v>
      </x:c>
      <x:c r="G26" s="16" t="str">
        <x:v>Approved</x:v>
      </x:c>
    </x:row>
    <x:row r="27">
      <x:c r="A27" s="16" t="str">
        <x:v>PAY-260025</x:v>
      </x:c>
      <x:c r="B27" s="18" t="n">
        <x:v>46181</x:v>
      </x:c>
      <x:c r="C27" s="16" t="str">
        <x:v>V001</x:v>
      </x:c>
      <x:c r="D27" s="16" t="str">
        <x:v>PI-260047</x:v>
      </x:c>
      <x:c r="E27" s="42" t="n">
        <x:v>102164.52</x:v>
      </x:c>
      <x:c r="F27" s="16" t="str">
        <x:v>Bank Transfer</x:v>
      </x:c>
      <x:c r="G27" s="16" t="str">
        <x:v>Approved</x:v>
      </x:c>
    </x:row>
    <x:row r="28">
      <x:c r="A28" s="16" t="str">
        <x:v>PAY-260026</x:v>
      </x:c>
      <x:c r="B28" s="18" t="n">
        <x:v>46187</x:v>
      </x:c>
      <x:c r="C28" s="16" t="str">
        <x:v>V001</x:v>
      </x:c>
      <x:c r="D28" s="16" t="str">
        <x:v>PI-260049</x:v>
      </x:c>
      <x:c r="E28" s="42" t="n">
        <x:v>42080.36</x:v>
      </x:c>
      <x:c r="F28" s="16" t="str">
        <x:v>Bank Transfer</x:v>
      </x:c>
      <x:c r="G28" s="16" t="str">
        <x:v>Approved</x:v>
      </x:c>
    </x:row>
    <x:row r="29">
      <x:c r="A29" s="16" t="str">
        <x:v>PAY-260027</x:v>
      </x:c>
      <x:c r="B29" s="18" t="n">
        <x:v>46190</x:v>
      </x:c>
      <x:c r="C29" s="16" t="str">
        <x:v>V001</x:v>
      </x:c>
      <x:c r="D29" s="16" t="str">
        <x:v>PI-260050</x:v>
      </x:c>
      <x:c r="E29" s="42" t="n">
        <x:v>10251.89</x:v>
      </x:c>
      <x:c r="F29" s="16" t="str">
        <x:v>Bank Transfer</x:v>
      </x:c>
      <x:c r="G29" s="16" t="str">
        <x:v>Approved</x:v>
      </x:c>
    </x:row>
    <x:row r="30">
      <x:c r="A30" s="16" t="str">
        <x:v>PAY-260028</x:v>
      </x:c>
      <x:c r="B30" s="18" t="n">
        <x:v>46190</x:v>
      </x:c>
      <x:c r="C30" s="16" t="str">
        <x:v>V008</x:v>
      </x:c>
      <x:c r="D30" s="16" t="str">
        <x:v>PI-260051</x:v>
      </x:c>
      <x:c r="E30" s="42" t="n">
        <x:v>4391.1</x:v>
      </x:c>
      <x:c r="F30" s="16" t="str">
        <x:v>Bank Transfer</x:v>
      </x:c>
      <x:c r="G30" s="16" t="str">
        <x:v>Approved</x:v>
      </x:c>
    </x:row>
    <x:row r="31">
      <x:c r="A31" s="16" t="str">
        <x:v>PAY-260029</x:v>
      </x:c>
      <x:c r="B31" s="18" t="n">
        <x:v>46184</x:v>
      </x:c>
      <x:c r="C31" s="16" t="str">
        <x:v>V002</x:v>
      </x:c>
      <x:c r="D31" s="16" t="str">
        <x:v>PI-260055</x:v>
      </x:c>
      <x:c r="E31" s="42" t="n">
        <x:v>13064.1</x:v>
      </x:c>
      <x:c r="F31" s="16" t="str">
        <x:v>Bank Transfer</x:v>
      </x:c>
      <x:c r="G31" s="16" t="str">
        <x:v>Approved</x:v>
      </x:c>
    </x:row>
    <x:row r="32">
      <x:c r="A32" s="16" t="str">
        <x:v>PAY-260030</x:v>
      </x:c>
      <x:c r="B32" s="18" t="n">
        <x:v>46206</x:v>
      </x:c>
      <x:c r="C32" s="16" t="str">
        <x:v>V001</x:v>
      </x:c>
      <x:c r="D32" s="16" t="str">
        <x:v>PI-260056</x:v>
      </x:c>
      <x:c r="E32" s="42" t="n">
        <x:v>11098.86</x:v>
      </x:c>
      <x:c r="F32" s="16" t="str">
        <x:v>Bank Transfer</x:v>
      </x:c>
      <x:c r="G32" s="16" t="str">
        <x:v>Approved</x:v>
      </x:c>
    </x:row>
    <x:row r="33">
      <x:c r="A33" s="16" t="str">
        <x:v>PAY-260031</x:v>
      </x:c>
      <x:c r="B33" s="18" t="n">
        <x:v>46209</x:v>
      </x:c>
      <x:c r="C33" s="16" t="str">
        <x:v>V001</x:v>
      </x:c>
      <x:c r="D33" s="16" t="str">
        <x:v>PI-260057</x:v>
      </x:c>
      <x:c r="E33" s="42" t="n">
        <x:v>7148.23</x:v>
      </x:c>
      <x:c r="F33" s="16" t="str">
        <x:v>Bank Transfer</x:v>
      </x:c>
      <x:c r="G33" s="16" t="str">
        <x:v>Approved</x:v>
      </x:c>
    </x:row>
    <x:row r="34">
      <x:c r="A34" s="16" t="str">
        <x:v>PAY-260032</x:v>
      </x:c>
      <x:c r="B34" s="18" t="n">
        <x:v>46212</x:v>
      </x:c>
      <x:c r="C34" s="16" t="str">
        <x:v>V001</x:v>
      </x:c>
      <x:c r="D34" s="16" t="str">
        <x:v>PI-260058</x:v>
      </x:c>
      <x:c r="E34" s="42" t="n">
        <x:v>45061.47</x:v>
      </x:c>
      <x:c r="F34" s="16" t="str">
        <x:v>Bank Transfer</x:v>
      </x:c>
      <x:c r="G34" s="16" t="str">
        <x:v>Approved</x:v>
      </x:c>
    </x:row>
    <x:row r="35">
      <x:c r="A35" s="16" t="str">
        <x:v>PAY-260033</x:v>
      </x:c>
      <x:c r="B35" s="18" t="n">
        <x:v>46215</x:v>
      </x:c>
      <x:c r="C35" s="16" t="str">
        <x:v>V001</x:v>
      </x:c>
      <x:c r="D35" s="16" t="str">
        <x:v>PI-260059</x:v>
      </x:c>
      <x:c r="E35" s="42" t="n">
        <x:v>13600.06</x:v>
      </x:c>
      <x:c r="F35" s="16" t="str">
        <x:v>Bank Transfer</x:v>
      </x:c>
      <x:c r="G35" s="16" t="str">
        <x:v>Approved</x:v>
      </x:c>
    </x:row>
    <x:row r="36">
      <x:c r="A36" s="16" t="str">
        <x:v>PAY-260034</x:v>
      </x:c>
      <x:c r="B36" s="18" t="n">
        <x:v>46218</x:v>
      </x:c>
      <x:c r="C36" s="16" t="str">
        <x:v>V001</x:v>
      </x:c>
      <x:c r="D36" s="16" t="str">
        <x:v>PI-260060</x:v>
      </x:c>
      <x:c r="E36" s="42" t="n">
        <x:v>15133.28</x:v>
      </x:c>
      <x:c r="F36" s="16" t="str">
        <x:v>Bank Transfer</x:v>
      </x:c>
      <x:c r="G36" s="16" t="str">
        <x:v>Approved</x:v>
      </x:c>
    </x:row>
    <x:row r="37">
      <x:c r="A37" s="16" t="str">
        <x:v>PAY-260035</x:v>
      </x:c>
      <x:c r="B37" s="18" t="n">
        <x:v>46221</x:v>
      </x:c>
      <x:c r="C37" s="16" t="str">
        <x:v>V001</x:v>
      </x:c>
      <x:c r="D37" s="16" t="str">
        <x:v>PI-260061</x:v>
      </x:c>
      <x:c r="E37" s="42" t="n">
        <x:v>43607.55</x:v>
      </x:c>
      <x:c r="F37" s="16" t="str">
        <x:v>Bank Transfer</x:v>
      </x:c>
      <x:c r="G37" s="16" t="str">
        <x:v>Approved</x:v>
      </x:c>
    </x:row>
    <x:row r="38">
      <x:c r="A38" s="16" t="str">
        <x:v>PAY-260036</x:v>
      </x:c>
      <x:c r="B38" s="18" t="n">
        <x:v>46213</x:v>
      </x:c>
      <x:c r="C38" s="16" t="str">
        <x:v>V003</x:v>
      </x:c>
      <x:c r="D38" s="16" t="str">
        <x:v>PI-260063</x:v>
      </x:c>
      <x:c r="E38" s="42" t="n">
        <x:v>5145</x:v>
      </x:c>
      <x:c r="F38" s="16" t="str">
        <x:v>Bank Transfer</x:v>
      </x:c>
      <x:c r="G38" s="16" t="str">
        <x:v>Approved</x:v>
      </x:c>
    </x:row>
    <x:row r="39">
      <x:c r="A39" s="16" t="str">
        <x:v>PAY-260037</x:v>
      </x:c>
      <x:c r="B39" s="18" t="n">
        <x:v>46236</x:v>
      </x:c>
      <x:c r="C39" s="16" t="str">
        <x:v>V001</x:v>
      </x:c>
      <x:c r="D39" s="16" t="str">
        <x:v>PI-260067</x:v>
      </x:c>
      <x:c r="E39" s="42" t="n">
        <x:v>8850.93</x:v>
      </x:c>
      <x:c r="F39" s="16" t="str">
        <x:v>Bank Transfer</x:v>
      </x:c>
      <x:c r="G39" s="16" t="str">
        <x:v>Approved</x:v>
      </x:c>
    </x:row>
    <x:row r="40">
      <x:c r="A40" s="16" t="str">
        <x:v>PAY-260038</x:v>
      </x:c>
      <x:c r="B40" s="18" t="n">
        <x:v>46242</x:v>
      </x:c>
      <x:c r="C40" s="16" t="str">
        <x:v>V001</x:v>
      </x:c>
      <x:c r="D40" s="16" t="str">
        <x:v>PI-260069</x:v>
      </x:c>
      <x:c r="E40" s="42" t="n">
        <x:v>22878.39</x:v>
      </x:c>
      <x:c r="F40" s="16" t="str">
        <x:v>Bank Transfer</x:v>
      </x:c>
      <x:c r="G40" s="16" t="str">
        <x:v>Approved</x:v>
      </x:c>
    </x:row>
    <x:row r="41">
      <x:c r="A41" s="16" t="str">
        <x:v>PAY-260039</x:v>
      </x:c>
      <x:c r="B41" s="18" t="n">
        <x:v>46245</x:v>
      </x:c>
      <x:c r="C41" s="16" t="str">
        <x:v>V001</x:v>
      </x:c>
      <x:c r="D41" s="16" t="str">
        <x:v>PI-260070</x:v>
      </x:c>
      <x:c r="E41" s="42" t="n">
        <x:v>17067.74</x:v>
      </x:c>
      <x:c r="F41" s="16" t="str">
        <x:v>Bank Transfer</x:v>
      </x:c>
      <x:c r="G41" s="16" t="str">
        <x:v>Approved</x:v>
      </x:c>
    </x:row>
    <x:row r="42">
      <x:c r="A42" s="16" t="str">
        <x:v>PAY-260040</x:v>
      </x:c>
      <x:c r="B42" s="18" t="n">
        <x:v>46241</x:v>
      </x:c>
      <x:c r="C42" s="16" t="str">
        <x:v>V007</x:v>
      </x:c>
      <x:c r="D42" s="16" t="str">
        <x:v>PI-260077</x:v>
      </x:c>
      <x:c r="E42" s="42" t="n">
        <x:v>18893.7</x:v>
      </x:c>
      <x:c r="F42" s="16" t="str">
        <x:v>Bank Transfer</x:v>
      </x:c>
      <x:c r="G42" s="16" t="str">
        <x:v>Approved</x:v>
      </x:c>
    </x:row>
    <x:row r="43">
      <x:c r="A43" s="16" t="str">
        <x:v>PAY-260041</x:v>
      </x:c>
      <x:c r="B43" s="18" t="n">
        <x:v>46267</x:v>
      </x:c>
      <x:c r="C43" s="16" t="str">
        <x:v>V001</x:v>
      </x:c>
      <x:c r="D43" s="16" t="str">
        <x:v>PI-260078</x:v>
      </x:c>
      <x:c r="E43" s="42" t="n">
        <x:v>36080.1</x:v>
      </x:c>
      <x:c r="F43" s="16" t="str">
        <x:v>Bank Transfer</x:v>
      </x:c>
      <x:c r="G43" s="16" t="str">
        <x:v>Approved</x:v>
      </x:c>
    </x:row>
    <x:row r="44">
      <x:c r="A44" s="16" t="str">
        <x:v>PAY-260042</x:v>
      </x:c>
      <x:c r="B44" s="18" t="n">
        <x:v>46276</x:v>
      </x:c>
      <x:c r="C44" s="16" t="str">
        <x:v>V001</x:v>
      </x:c>
      <x:c r="D44" s="16" t="str">
        <x:v>PI-260081</x:v>
      </x:c>
      <x:c r="E44" s="42" t="n">
        <x:v>26860.89</x:v>
      </x:c>
      <x:c r="F44" s="16" t="str">
        <x:v>Bank Transfer</x:v>
      </x:c>
      <x:c r="G44" s="16" t="str">
        <x:v>Approved</x:v>
      </x:c>
    </x:row>
    <x:row r="45">
      <x:c r="A45" s="16" t="str">
        <x:v>PAY-260043</x:v>
      </x:c>
      <x:c r="B45" s="18" t="n">
        <x:v>46279</x:v>
      </x:c>
      <x:c r="C45" s="16" t="str">
        <x:v>V001</x:v>
      </x:c>
      <x:c r="D45" s="16" t="str">
        <x:v>PI-260082</x:v>
      </x:c>
      <x:c r="E45" s="42" t="n">
        <x:v>55641.63</x:v>
      </x:c>
      <x:c r="F45" s="16" t="str">
        <x:v>Bank Transfer</x:v>
      </x:c>
      <x:c r="G45" s="16" t="str">
        <x:v>Approved</x:v>
      </x:c>
    </x:row>
    <x:row r="46">
      <x:c r="A46" s="16" t="str">
        <x:v>PAY-260044</x:v>
      </x:c>
      <x:c r="B46" s="18" t="n">
        <x:v>46282</x:v>
      </x:c>
      <x:c r="C46" s="16" t="str">
        <x:v>V001</x:v>
      </x:c>
      <x:c r="D46" s="16" t="str">
        <x:v>PI-260083</x:v>
      </x:c>
      <x:c r="E46" s="42" t="n">
        <x:v>19637.37</x:v>
      </x:c>
      <x:c r="F46" s="16" t="str">
        <x:v>Bank Transfer</x:v>
      </x:c>
      <x:c r="G46" s="16" t="str">
        <x:v>Approved</x:v>
      </x:c>
    </x:row>
    <x:row r="47">
      <x:c r="A47" s="16" t="str">
        <x:v>PAY-260045</x:v>
      </x:c>
      <x:c r="B47" s="18" t="n">
        <x:v>46282</x:v>
      </x:c>
      <x:c r="C47" s="16" t="str">
        <x:v>V003</x:v>
      </x:c>
      <x:c r="D47" s="16" t="str">
        <x:v>PI-260085</x:v>
      </x:c>
      <x:c r="E47" s="42" t="n">
        <x:v>11666.55</x:v>
      </x:c>
      <x:c r="F47" s="16" t="str">
        <x:v>Bank Transfer</x:v>
      </x:c>
      <x:c r="G47" s="16" t="str">
        <x:v>Approved</x:v>
      </x:c>
    </x:row>
    <x:row r="48">
      <x:c r="A48" s="16" t="str">
        <x:v>PAY-260046</x:v>
      </x:c>
      <x:c r="B48" s="18" t="n">
        <x:v>46280</x:v>
      </x:c>
      <x:c r="C48" s="16" t="str">
        <x:v>V008</x:v>
      </x:c>
      <x:c r="D48" s="16" t="str">
        <x:v>PI-260087</x:v>
      </x:c>
      <x:c r="E48" s="42" t="n">
        <x:v>2020.2</x:v>
      </x:c>
      <x:c r="F48" s="16" t="str">
        <x:v>Bank Transfer</x:v>
      </x:c>
      <x:c r="G48" s="16" t="str">
        <x:v>Approved</x:v>
      </x:c>
    </x:row>
    <x:row r="49">
      <x:c r="A49" s="16" t="str">
        <x:v>PAY-260047</x:v>
      </x:c>
      <x:c r="B49" s="18" t="n">
        <x:v>46295</x:v>
      </x:c>
      <x:c r="C49" s="16" t="str">
        <x:v>V001</x:v>
      </x:c>
      <x:c r="D49" s="16" t="str">
        <x:v>PI-260089</x:v>
      </x:c>
      <x:c r="E49" s="42" t="n">
        <x:v>10343.34</x:v>
      </x:c>
      <x:c r="F49" s="16" t="str">
        <x:v>Bank Transfer</x:v>
      </x:c>
      <x:c r="G49" s="16" t="str">
        <x:v>Approved</x:v>
      </x:c>
    </x:row>
    <x:row r="50">
      <x:c r="A50" s="16" t="str">
        <x:v>PAY-260048</x:v>
      </x:c>
      <x:c r="B50" s="18" t="n">
        <x:v>46295</x:v>
      </x:c>
      <x:c r="C50" s="16" t="str">
        <x:v>V001</x:v>
      </x:c>
      <x:c r="D50" s="16" t="str">
        <x:v>PI-260090</x:v>
      </x:c>
      <x:c r="E50" s="42" t="n">
        <x:v>3763.17</x:v>
      </x:c>
      <x:c r="F50" s="16" t="str">
        <x:v>Bank Transfer</x:v>
      </x:c>
      <x:c r="G50" s="16" t="str">
        <x:v>Approved</x:v>
      </x:c>
    </x:row>
    <x:row r="51">
      <x:c r="A51" s="16" t="str">
        <x:v>PAY-260049</x:v>
      </x:c>
      <x:c r="B51" s="18" t="n">
        <x:v>46295</x:v>
      </x:c>
      <x:c r="C51" s="16" t="str">
        <x:v>V001</x:v>
      </x:c>
      <x:c r="D51" s="16" t="str">
        <x:v>PI-260091</x:v>
      </x:c>
      <x:c r="E51" s="42" t="n">
        <x:v>20554.95</x:v>
      </x:c>
      <x:c r="F51" s="16" t="str">
        <x:v>Bank Transfer</x:v>
      </x:c>
      <x:c r="G51" s="16" t="str">
        <x:v>Approved</x:v>
      </x:c>
    </x:row>
    <x:row r="52">
      <x:c r="A52" s="16" t="str">
        <x:v>PAY-260050</x:v>
      </x:c>
      <x:c r="B52" s="18" t="n">
        <x:v>46295</x:v>
      </x:c>
      <x:c r="C52" s="16" t="str">
        <x:v>V001</x:v>
      </x:c>
      <x:c r="D52" s="16" t="str">
        <x:v>PI-260092</x:v>
      </x:c>
      <x:c r="E52" s="42" t="n">
        <x:v>26764.99</x:v>
      </x:c>
      <x:c r="F52" s="16" t="str">
        <x:v>Bank Transfer</x:v>
      </x:c>
      <x:c r="G52" s="16" t="str">
        <x:v>Approved</x:v>
      </x:c>
    </x:row>
    <x:row r="53">
      <x:c r="A53" s="16" t="str">
        <x:v>PAY-260051</x:v>
      </x:c>
      <x:c r="B53" s="18" t="n">
        <x:v>46295</x:v>
      </x:c>
      <x:c r="C53" s="16" t="str">
        <x:v>V001</x:v>
      </x:c>
      <x:c r="D53" s="16" t="str">
        <x:v>PI-260093</x:v>
      </x:c>
      <x:c r="E53" s="42" t="n">
        <x:v>11259.39</x:v>
      </x:c>
      <x:c r="F53" s="16" t="str">
        <x:v>Bank Transfer</x:v>
      </x:c>
      <x:c r="G53" s="16" t="str">
        <x:v>Approved</x:v>
      </x:c>
    </x:row>
    <x:row r="54">
      <x:c r="A54" s="16" t="str">
        <x:v>PAY-260052</x:v>
      </x:c>
      <x:c r="B54" s="18" t="n">
        <x:v>46295</x:v>
      </x:c>
      <x:c r="C54" s="16" t="str">
        <x:v>V001</x:v>
      </x:c>
      <x:c r="D54" s="16" t="str">
        <x:v>PI-260094</x:v>
      </x:c>
      <x:c r="E54" s="42" t="n">
        <x:v>48358.06</x:v>
      </x:c>
      <x:c r="F54" s="16" t="str">
        <x:v>Bank Transfer</x:v>
      </x:c>
      <x:c r="G54" s="16" t="str">
        <x:v>Approved</x:v>
      </x:c>
    </x:row>
    <x:row r="55">
      <x:c r="A55" s="16" t="str">
        <x:v>PAY-260053</x:v>
      </x:c>
      <x:c r="B55" s="18" t="n">
        <x:v>46295</x:v>
      </x:c>
      <x:c r="C55" s="16" t="str">
        <x:v>V003</x:v>
      </x:c>
      <x:c r="D55" s="16" t="str">
        <x:v>PI-260095</x:v>
      </x:c>
      <x:c r="E55" s="42" t="n">
        <x:v>12559.05</x:v>
      </x:c>
      <x:c r="F55" s="16" t="str">
        <x:v>Bank Transfer</x:v>
      </x:c>
      <x:c r="G55" s="16" t="str">
        <x:v>Approved</x:v>
      </x:c>
    </x:row>
    <x:row r="56">
      <x:c r="A56" s="16" t="str">
        <x:v>PAY-260054</x:v>
      </x:c>
      <x:c r="B56" s="18" t="n">
        <x:v>46295</x:v>
      </x:c>
      <x:c r="C56" s="16" t="str">
        <x:v>V007</x:v>
      </x:c>
      <x:c r="D56" s="16" t="str">
        <x:v>PI-260096</x:v>
      </x:c>
      <x:c r="E56" s="42" t="n">
        <x:v>18085.2</x:v>
      </x:c>
      <x:c r="F56" s="16" t="str">
        <x:v>Bank Transfer</x:v>
      </x:c>
      <x:c r="G56" s="16" t="str">
        <x:v>Approved</x:v>
      </x:c>
    </x:row>
    <x:row r="57">
      <x:c r="A57" s="16"/>
      <x:c r="B57" s="18"/>
      <x:c r="C57" s="16"/>
      <x:c r="D57" s="16"/>
      <x:c r="E57" s="42"/>
      <x:c r="F57" s="16"/>
      <x:c r="G57" s="16"/>
    </x:row>
    <x:row r="58">
      <x:c r="A58" s="16"/>
      <x:c r="B58" s="18"/>
      <x:c r="C58" s="16"/>
      <x:c r="D58" s="16"/>
      <x:c r="E58" s="42"/>
      <x:c r="F58" s="16"/>
      <x:c r="G58" s="16"/>
    </x:row>
    <x:row r="59">
      <x:c r="A59" s="16"/>
      <x:c r="B59" s="18"/>
      <x:c r="C59" s="16"/>
      <x:c r="D59" s="16"/>
      <x:c r="E59" s="42"/>
      <x:c r="F59" s="16"/>
      <x:c r="G59" s="16"/>
    </x:row>
    <x:row r="60">
      <x:c r="A60" s="16"/>
      <x:c r="B60" s="18"/>
      <x:c r="C60" s="16"/>
      <x:c r="D60" s="16"/>
      <x:c r="E60" s="42"/>
      <x:c r="F60" s="16"/>
      <x:c r="G60" s="16"/>
    </x:row>
    <x:row r="61">
      <x:c r="A61" s="16"/>
      <x:c r="B61" s="18"/>
      <x:c r="C61" s="16"/>
      <x:c r="D61" s="16"/>
      <x:c r="E61" s="42"/>
      <x:c r="F61" s="16"/>
      <x:c r="G61" s="16"/>
    </x:row>
    <x:row r="62">
      <x:c r="A62" s="16"/>
      <x:c r="B62" s="18"/>
      <x:c r="C62" s="16"/>
      <x:c r="D62" s="16"/>
      <x:c r="E62" s="42"/>
      <x:c r="F62" s="16"/>
      <x:c r="G62" s="16"/>
    </x:row>
    <x:row r="63">
      <x:c r="A63" s="16"/>
      <x:c r="B63" s="18"/>
      <x:c r="C63" s="16"/>
      <x:c r="D63" s="16"/>
      <x:c r="E63" s="42"/>
      <x:c r="F63" s="16"/>
      <x:c r="G63" s="16"/>
    </x:row>
    <x:row r="64">
      <x:c r="A64" s="16"/>
      <x:c r="B64" s="18"/>
      <x:c r="C64" s="16"/>
      <x:c r="D64" s="16"/>
      <x:c r="E64" s="42"/>
      <x:c r="F64" s="16"/>
      <x:c r="G64" s="16"/>
    </x:row>
    <x:row r="65">
      <x:c r="A65" s="16"/>
      <x:c r="B65" s="18"/>
      <x:c r="C65" s="16"/>
      <x:c r="D65" s="16"/>
      <x:c r="E65" s="42"/>
      <x:c r="F65" s="16"/>
      <x:c r="G65" s="16"/>
    </x:row>
    <x:row r="66">
      <x:c r="A66" s="16"/>
      <x:c r="B66" s="18"/>
      <x:c r="C66" s="16"/>
      <x:c r="D66" s="16"/>
      <x:c r="E66" s="42"/>
      <x:c r="F66" s="16"/>
      <x:c r="G66" s="16"/>
    </x:row>
    <x:row r="67">
      <x:c r="A67" s="16"/>
      <x:c r="B67" s="18"/>
      <x:c r="C67" s="16"/>
      <x:c r="D67" s="16"/>
      <x:c r="E67" s="42"/>
      <x:c r="F67" s="16"/>
      <x:c r="G67" s="16"/>
    </x:row>
    <x:row r="68">
      <x:c r="A68" s="16"/>
      <x:c r="B68" s="18"/>
      <x:c r="C68" s="16"/>
      <x:c r="D68" s="16"/>
      <x:c r="E68" s="42"/>
      <x:c r="F68" s="16"/>
      <x:c r="G68" s="16"/>
    </x:row>
    <x:row r="69">
      <x:c r="A69" s="16"/>
      <x:c r="B69" s="18"/>
      <x:c r="C69" s="16"/>
      <x:c r="D69" s="16"/>
      <x:c r="E69" s="42"/>
      <x:c r="F69" s="16"/>
      <x:c r="G69" s="16"/>
    </x:row>
    <x:row r="70">
      <x:c r="A70" s="16"/>
      <x:c r="B70" s="18"/>
      <x:c r="C70" s="16"/>
      <x:c r="D70" s="16"/>
      <x:c r="E70" s="42"/>
      <x:c r="F70" s="16"/>
      <x:c r="G70" s="16"/>
    </x:row>
    <x:row r="71">
      <x:c r="A71" s="16"/>
      <x:c r="B71" s="18"/>
      <x:c r="C71" s="16"/>
      <x:c r="D71" s="16"/>
      <x:c r="E71" s="42"/>
      <x:c r="F71" s="16"/>
      <x:c r="G71" s="16"/>
    </x:row>
    <x:row r="72">
      <x:c r="A72" s="16"/>
      <x:c r="B72" s="18"/>
      <x:c r="C72" s="16"/>
      <x:c r="D72" s="16"/>
      <x:c r="E72" s="42"/>
      <x:c r="F72" s="16"/>
      <x:c r="G72" s="16"/>
    </x:row>
    <x:row r="73">
      <x:c r="A73" s="16"/>
      <x:c r="B73" s="18"/>
      <x:c r="C73" s="16"/>
      <x:c r="D73" s="16"/>
      <x:c r="E73" s="42"/>
      <x:c r="F73" s="16"/>
      <x:c r="G73" s="16"/>
    </x:row>
    <x:row r="74">
      <x:c r="A74" s="16"/>
      <x:c r="B74" s="18"/>
      <x:c r="C74" s="16"/>
      <x:c r="D74" s="16"/>
      <x:c r="E74" s="42"/>
      <x:c r="F74" s="16"/>
      <x:c r="G74" s="16"/>
    </x:row>
    <x:row r="75">
      <x:c r="A75" s="16"/>
      <x:c r="B75" s="18"/>
      <x:c r="C75" s="16"/>
      <x:c r="D75" s="16"/>
      <x:c r="E75" s="42"/>
      <x:c r="F75" s="16"/>
      <x:c r="G75" s="16"/>
    </x:row>
    <x:row r="76">
      <x:c r="A76" s="16"/>
      <x:c r="B76" s="18"/>
      <x:c r="C76" s="16"/>
      <x:c r="D76" s="16"/>
      <x:c r="E76" s="42"/>
      <x:c r="F76" s="16"/>
      <x:c r="G76" s="16"/>
    </x:row>
    <x:row r="77">
      <x:c r="A77" s="16"/>
      <x:c r="B77" s="18"/>
      <x:c r="C77" s="16"/>
      <x:c r="D77" s="16"/>
      <x:c r="E77" s="42"/>
      <x:c r="F77" s="16"/>
      <x:c r="G77" s="16"/>
    </x:row>
    <x:row r="78">
      <x:c r="A78" s="16"/>
      <x:c r="B78" s="18"/>
      <x:c r="C78" s="16"/>
      <x:c r="D78" s="16"/>
      <x:c r="E78" s="42"/>
      <x:c r="F78" s="16"/>
      <x:c r="G78" s="16"/>
    </x:row>
    <x:row r="79">
      <x:c r="A79" s="16"/>
      <x:c r="B79" s="18"/>
      <x:c r="C79" s="16"/>
      <x:c r="D79" s="16"/>
      <x:c r="E79" s="42"/>
      <x:c r="F79" s="16"/>
      <x:c r="G79" s="16"/>
    </x:row>
    <x:row r="80">
      <x:c r="A80" s="16"/>
      <x:c r="B80" s="18"/>
      <x:c r="C80" s="16"/>
      <x:c r="D80" s="16"/>
      <x:c r="E80" s="42"/>
      <x:c r="F80" s="16"/>
      <x:c r="G80" s="16"/>
    </x:row>
    <x:row r="81">
      <x:c r="A81" s="16"/>
      <x:c r="B81" s="18"/>
      <x:c r="C81" s="16"/>
      <x:c r="D81" s="16"/>
      <x:c r="E81" s="42"/>
      <x:c r="F81" s="16"/>
      <x:c r="G81" s="16"/>
    </x:row>
    <x:row r="82">
      <x:c r="A82" s="16"/>
      <x:c r="B82" s="18"/>
      <x:c r="C82" s="16"/>
      <x:c r="D82" s="16"/>
      <x:c r="E82" s="42"/>
      <x:c r="F82" s="16"/>
      <x:c r="G82" s="16"/>
    </x:row>
    <x:row r="83">
      <x:c r="A83" s="16"/>
      <x:c r="B83" s="18"/>
      <x:c r="C83" s="16"/>
      <x:c r="D83" s="16"/>
      <x:c r="E83" s="42"/>
      <x:c r="F83" s="16"/>
      <x:c r="G83" s="16"/>
    </x:row>
    <x:row r="84">
      <x:c r="A84" s="16"/>
      <x:c r="B84" s="18"/>
      <x:c r="C84" s="16"/>
      <x:c r="D84" s="16"/>
      <x:c r="E84" s="42"/>
      <x:c r="F84" s="16"/>
      <x:c r="G84" s="16"/>
    </x:row>
    <x:row r="85">
      <x:c r="A85" s="16"/>
      <x:c r="B85" s="18"/>
      <x:c r="C85" s="16"/>
      <x:c r="D85" s="16"/>
      <x:c r="E85" s="42"/>
      <x:c r="F85" s="16"/>
      <x:c r="G85" s="16"/>
    </x:row>
    <x:row r="86">
      <x:c r="A86" s="16"/>
      <x:c r="B86" s="18"/>
      <x:c r="C86" s="16"/>
      <x:c r="D86" s="16"/>
      <x:c r="E86" s="42"/>
      <x:c r="F86" s="16"/>
      <x:c r="G86" s="16"/>
    </x:row>
    <x:row r="87">
      <x:c r="A87" s="16"/>
      <x:c r="B87" s="18"/>
      <x:c r="C87" s="16"/>
      <x:c r="D87" s="16"/>
      <x:c r="E87" s="42"/>
      <x:c r="F87" s="16"/>
      <x:c r="G87" s="16"/>
    </x:row>
    <x:row r="88">
      <x:c r="A88" s="16"/>
      <x:c r="B88" s="18"/>
      <x:c r="C88" s="16"/>
      <x:c r="D88" s="16"/>
      <x:c r="E88" s="42"/>
      <x:c r="F88" s="16"/>
      <x:c r="G88" s="16"/>
    </x:row>
    <x:row r="89">
      <x:c r="A89" s="16"/>
      <x:c r="B89" s="18"/>
      <x:c r="C89" s="16"/>
      <x:c r="D89" s="16"/>
      <x:c r="E89" s="42"/>
      <x:c r="F89" s="16"/>
      <x:c r="G89" s="16"/>
    </x:row>
    <x:row r="90">
      <x:c r="A90" s="16"/>
      <x:c r="B90" s="18"/>
      <x:c r="C90" s="16"/>
      <x:c r="D90" s="16"/>
      <x:c r="E90" s="42"/>
      <x:c r="F90" s="16"/>
      <x:c r="G90" s="16"/>
    </x:row>
    <x:row r="91">
      <x:c r="A91" s="16"/>
      <x:c r="B91" s="18"/>
      <x:c r="C91" s="16"/>
      <x:c r="D91" s="16"/>
      <x:c r="E91" s="42"/>
      <x:c r="F91" s="16"/>
      <x:c r="G91" s="16"/>
    </x:row>
    <x:row r="92">
      <x:c r="A92" s="16"/>
      <x:c r="B92" s="18"/>
      <x:c r="C92" s="16"/>
      <x:c r="D92" s="16"/>
      <x:c r="E92" s="42"/>
      <x:c r="F92" s="16"/>
      <x:c r="G92" s="16"/>
    </x:row>
    <x:row r="93">
      <x:c r="A93" s="16"/>
      <x:c r="B93" s="18"/>
      <x:c r="C93" s="16"/>
      <x:c r="D93" s="16"/>
      <x:c r="E93" s="42"/>
      <x:c r="F93" s="16"/>
      <x:c r="G93" s="16"/>
    </x:row>
    <x:row r="94">
      <x:c r="A94" s="16"/>
      <x:c r="B94" s="18"/>
      <x:c r="C94" s="16"/>
      <x:c r="D94" s="16"/>
      <x:c r="E94" s="42"/>
      <x:c r="F94" s="16"/>
      <x:c r="G94" s="16"/>
    </x:row>
    <x:row r="95">
      <x:c r="A95" s="16"/>
      <x:c r="B95" s="18"/>
      <x:c r="C95" s="16"/>
      <x:c r="D95" s="16"/>
      <x:c r="E95" s="42"/>
      <x:c r="F95" s="16"/>
      <x:c r="G95" s="16"/>
    </x:row>
    <x:row r="96">
      <x:c r="A96" s="16"/>
      <x:c r="B96" s="18"/>
      <x:c r="C96" s="16"/>
      <x:c r="D96" s="16"/>
      <x:c r="E96" s="42"/>
      <x:c r="F96" s="16"/>
      <x:c r="G96" s="16"/>
    </x:row>
    <x:row r="97">
      <x:c r="A97" s="16"/>
      <x:c r="B97" s="18"/>
      <x:c r="C97" s="16"/>
      <x:c r="D97" s="16"/>
      <x:c r="E97" s="42"/>
      <x:c r="F97" s="16"/>
      <x:c r="G97" s="16"/>
    </x:row>
    <x:row r="98">
      <x:c r="A98" s="16"/>
      <x:c r="B98" s="18"/>
      <x:c r="C98" s="16"/>
      <x:c r="D98" s="16"/>
      <x:c r="E98" s="42"/>
      <x:c r="F98" s="16"/>
      <x:c r="G98" s="16"/>
    </x:row>
    <x:row r="99">
      <x:c r="A99" s="16"/>
      <x:c r="B99" s="18"/>
      <x:c r="C99" s="16"/>
      <x:c r="D99" s="16"/>
      <x:c r="E99" s="42"/>
      <x:c r="F99" s="16"/>
      <x:c r="G99" s="16"/>
    </x:row>
    <x:row r="100">
      <x:c r="A100" s="16"/>
      <x:c r="B100" s="18"/>
      <x:c r="C100" s="16"/>
      <x:c r="D100" s="16"/>
      <x:c r="E100" s="42"/>
      <x:c r="F100" s="16"/>
      <x:c r="G100" s="16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88a2b4bb0614a8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4" hidden="0" customWidth="1"/>
  </x:cols>
  <x:sheetData>
    <x:row r="1">
      <x:c r="A1" s="70" t="str">
        <x:v>TXN_Manual_Journals</x:v>
      </x:c>
    </x:row>
    <x:row r="2">
      <x:c r="A2" s="26" t="str">
        <x:v>Journal_ID</x:v>
      </x:c>
      <x:c r="B2" s="26" t="str">
        <x:v>Journal_Date</x:v>
      </x:c>
      <x:c r="C2" s="26" t="str">
        <x:v>Description</x:v>
      </x:c>
      <x:c r="D2" s="26" t="str">
        <x:v>Debit_Account</x:v>
      </x:c>
      <x:c r="E2" s="26" t="str">
        <x:v>Credit_Account</x:v>
      </x:c>
      <x:c r="F2" s="26" t="str">
        <x:v>Amount_USD</x:v>
      </x:c>
      <x:c r="G2" s="26" t="str">
        <x:v>Department_ID</x:v>
      </x:c>
      <x:c r="H2" s="26" t="str">
        <x:v>Approval_Status</x:v>
      </x:c>
      <x:c r="I2" s="26" t="str">
        <x:v>Source</x:v>
      </x:c>
    </x:row>
    <x:row r="3">
      <x:c r="A3" s="16" t="str">
        <x:v>JE-260001</x:v>
      </x:c>
      <x:c r="B3" s="18" t="n">
        <x:v>46295</x:v>
      </x:c>
      <x:c r="C3" s="16" t="str">
        <x:v>Month-end payroll accrual</x:v>
      </x:c>
      <x:c r="D3" s="16" t="str">
        <x:v>6100</x:v>
      </x:c>
      <x:c r="E3" s="16" t="str">
        <x:v>2000</x:v>
      </x:c>
      <x:c r="F3" s="42" t="n">
        <x:v>42000</x:v>
      </x:c>
      <x:c r="G3" s="16" t="str">
        <x:v>D005</x:v>
      </x:c>
      <x:c r="H3" s="16" t="str">
        <x:v>Approved</x:v>
      </x:c>
      <x:c r="I3" s="16" t="str">
        <x:v>Manual</x:v>
      </x:c>
    </x:row>
    <x:row r="4">
      <x:c r="A4" s="16" t="str">
        <x:v>JE-260002</x:v>
      </x:c>
      <x:c r="B4" s="18" t="n">
        <x:v>46295</x:v>
      </x:c>
      <x:c r="C4" s="16" t="str">
        <x:v>Monthly depreciation</x:v>
      </x:c>
      <x:c r="D4" s="16" t="str">
        <x:v>6700</x:v>
      </x:c>
      <x:c r="E4" s="16" t="str">
        <x:v>1590</x:v>
      </x:c>
      <x:c r="F4" s="42" t="n">
        <x:v>4500</x:v>
      </x:c>
      <x:c r="G4" s="16" t="str">
        <x:v>D004</x:v>
      </x:c>
      <x:c r="H4" s="16" t="str">
        <x:v>Approved</x:v>
      </x:c>
      <x:c r="I4" s="16" t="str">
        <x:v>Manual</x:v>
      </x:c>
    </x:row>
    <x:row r="5">
      <x:c r="A5" s="16" t="str">
        <x:v>JE-OPEN-2601</x:v>
      </x:c>
      <x:c r="B5" s="18" t="n">
        <x:v>46023</x:v>
      </x:c>
      <x:c r="C5" s="16" t="str">
        <x:v>Opening balances</x:v>
      </x:c>
      <x:c r="D5" s="16" t="str">
        <x:v>1000</x:v>
      </x:c>
      <x:c r="E5" s="16" t="str">
        <x:v>3000</x:v>
      </x:c>
      <x:c r="F5" s="42" t="n">
        <x:v>150000</x:v>
      </x:c>
      <x:c r="G5" s="16" t="str">
        <x:v>D004</x:v>
      </x:c>
      <x:c r="H5" s="16" t="str">
        <x:v>Approved</x:v>
      </x:c>
      <x:c r="I5" s="16" t="str">
        <x:v>Opening</x:v>
      </x:c>
    </x:row>
    <x:row r="6">
      <x:c r="A6" s="16" t="str">
        <x:v>JE-OPEN-2602</x:v>
      </x:c>
      <x:c r="B6" s="18" t="n">
        <x:v>46023</x:v>
      </x:c>
      <x:c r="C6" s="16" t="str">
        <x:v>Opening inventory</x:v>
      </x:c>
      <x:c r="D6" s="16" t="str">
        <x:v>1200</x:v>
      </x:c>
      <x:c r="E6" s="16" t="str">
        <x:v>3000</x:v>
      </x:c>
      <x:c r="F6" s="42" t="n">
        <x:v>100000</x:v>
      </x:c>
      <x:c r="G6" s="16" t="str">
        <x:v>D003</x:v>
      </x:c>
      <x:c r="H6" s="16" t="str">
        <x:v>Approved</x:v>
      </x:c>
      <x:c r="I6" s="16" t="str">
        <x:v>Opening</x:v>
      </x:c>
    </x:row>
    <x:row r="7">
      <x:c r="A7" s="16"/>
      <x:c r="B7" s="18"/>
      <x:c r="C7" s="16"/>
      <x:c r="D7" s="16"/>
      <x:c r="E7" s="16"/>
      <x:c r="F7" s="42"/>
      <x:c r="G7" s="16"/>
      <x:c r="H7" s="16"/>
      <x:c r="I7" s="16"/>
    </x:row>
    <x:row r="8">
      <x:c r="A8" s="16"/>
      <x:c r="B8" s="18"/>
      <x:c r="C8" s="16"/>
      <x:c r="D8" s="16"/>
      <x:c r="E8" s="16"/>
      <x:c r="F8" s="42"/>
      <x:c r="G8" s="16"/>
      <x:c r="H8" s="16"/>
      <x:c r="I8" s="16"/>
    </x:row>
    <x:row r="9">
      <x:c r="A9" s="16"/>
      <x:c r="B9" s="18"/>
      <x:c r="C9" s="16"/>
      <x:c r="D9" s="16"/>
      <x:c r="E9" s="16"/>
      <x:c r="F9" s="42"/>
      <x:c r="G9" s="16"/>
      <x:c r="H9" s="16"/>
      <x:c r="I9" s="16"/>
    </x:row>
    <x:row r="10">
      <x:c r="A10" s="16"/>
      <x:c r="B10" s="18"/>
      <x:c r="C10" s="16"/>
      <x:c r="D10" s="16"/>
      <x:c r="E10" s="16"/>
      <x:c r="F10" s="42"/>
      <x:c r="G10" s="16"/>
      <x:c r="H10" s="16"/>
      <x:c r="I10" s="16"/>
    </x:row>
    <x:row r="11">
      <x:c r="A11" s="16"/>
      <x:c r="B11" s="18"/>
      <x:c r="C11" s="16"/>
      <x:c r="D11" s="16"/>
      <x:c r="E11" s="16"/>
      <x:c r="F11" s="42"/>
      <x:c r="G11" s="16"/>
      <x:c r="H11" s="16"/>
      <x:c r="I11" s="16"/>
    </x:row>
    <x:row r="12">
      <x:c r="A12" s="16"/>
      <x:c r="B12" s="18"/>
      <x:c r="C12" s="16"/>
      <x:c r="D12" s="16"/>
      <x:c r="E12" s="16"/>
      <x:c r="F12" s="42"/>
      <x:c r="G12" s="16"/>
      <x:c r="H12" s="16"/>
      <x:c r="I12" s="16"/>
    </x:row>
    <x:row r="13">
      <x:c r="A13" s="16"/>
      <x:c r="B13" s="18"/>
      <x:c r="C13" s="16"/>
      <x:c r="D13" s="16"/>
      <x:c r="E13" s="16"/>
      <x:c r="F13" s="42"/>
      <x:c r="G13" s="16"/>
      <x:c r="H13" s="16"/>
      <x:c r="I13" s="16"/>
    </x:row>
    <x:row r="14">
      <x:c r="A14" s="16"/>
      <x:c r="B14" s="18"/>
      <x:c r="C14" s="16"/>
      <x:c r="D14" s="16"/>
      <x:c r="E14" s="16"/>
      <x:c r="F14" s="42"/>
      <x:c r="G14" s="16"/>
      <x:c r="H14" s="16"/>
      <x:c r="I14" s="16"/>
    </x:row>
    <x:row r="15">
      <x:c r="A15" s="16"/>
      <x:c r="B15" s="18"/>
      <x:c r="C15" s="16"/>
      <x:c r="D15" s="16"/>
      <x:c r="E15" s="16"/>
      <x:c r="F15" s="42"/>
      <x:c r="G15" s="16"/>
      <x:c r="H15" s="16"/>
      <x:c r="I15" s="16"/>
    </x:row>
    <x:row r="16">
      <x:c r="A16" s="16"/>
      <x:c r="B16" s="18"/>
      <x:c r="C16" s="16"/>
      <x:c r="D16" s="16"/>
      <x:c r="E16" s="16"/>
      <x:c r="F16" s="42"/>
      <x:c r="G16" s="16"/>
      <x:c r="H16" s="16"/>
      <x:c r="I16" s="16"/>
    </x:row>
    <x:row r="17">
      <x:c r="A17" s="16"/>
      <x:c r="B17" s="18"/>
      <x:c r="C17" s="16"/>
      <x:c r="D17" s="16"/>
      <x:c r="E17" s="16"/>
      <x:c r="F17" s="42"/>
      <x:c r="G17" s="16"/>
      <x:c r="H17" s="16"/>
      <x:c r="I17" s="16"/>
    </x:row>
    <x:row r="18">
      <x:c r="A18" s="16"/>
      <x:c r="B18" s="18"/>
      <x:c r="C18" s="16"/>
      <x:c r="D18" s="16"/>
      <x:c r="E18" s="16"/>
      <x:c r="F18" s="42"/>
      <x:c r="G18" s="16"/>
      <x:c r="H18" s="16"/>
      <x:c r="I18" s="16"/>
    </x:row>
    <x:row r="19">
      <x:c r="A19" s="16"/>
      <x:c r="B19" s="18"/>
      <x:c r="C19" s="16"/>
      <x:c r="D19" s="16"/>
      <x:c r="E19" s="16"/>
      <x:c r="F19" s="42"/>
      <x:c r="G19" s="16"/>
      <x:c r="H19" s="16"/>
      <x:c r="I19" s="16"/>
    </x:row>
    <x:row r="20">
      <x:c r="A20" s="16"/>
      <x:c r="B20" s="18"/>
      <x:c r="C20" s="16"/>
      <x:c r="D20" s="16"/>
      <x:c r="E20" s="16"/>
      <x:c r="F20" s="42"/>
      <x:c r="G20" s="16"/>
      <x:c r="H20" s="16"/>
      <x:c r="I20" s="16"/>
    </x:row>
    <x:row r="21">
      <x:c r="A21" s="16"/>
      <x:c r="B21" s="18"/>
      <x:c r="C21" s="16"/>
      <x:c r="D21" s="16"/>
      <x:c r="E21" s="16"/>
      <x:c r="F21" s="42"/>
      <x:c r="G21" s="16"/>
      <x:c r="H21" s="16"/>
      <x:c r="I21" s="16"/>
    </x:row>
    <x:row r="22">
      <x:c r="A22" s="16"/>
      <x:c r="B22" s="18"/>
      <x:c r="C22" s="16"/>
      <x:c r="D22" s="16"/>
      <x:c r="E22" s="16"/>
      <x:c r="F22" s="42"/>
      <x:c r="G22" s="16"/>
      <x:c r="H22" s="16"/>
      <x:c r="I22" s="16"/>
    </x:row>
    <x:row r="23">
      <x:c r="A23" s="16"/>
      <x:c r="B23" s="18"/>
      <x:c r="C23" s="16"/>
      <x:c r="D23" s="16"/>
      <x:c r="E23" s="16"/>
      <x:c r="F23" s="42"/>
      <x:c r="G23" s="16"/>
      <x:c r="H23" s="16"/>
      <x:c r="I23" s="16"/>
    </x:row>
    <x:row r="24">
      <x:c r="A24" s="16"/>
      <x:c r="B24" s="18"/>
      <x:c r="C24" s="16"/>
      <x:c r="D24" s="16"/>
      <x:c r="E24" s="16"/>
      <x:c r="F24" s="42"/>
      <x:c r="G24" s="16"/>
      <x:c r="H24" s="16"/>
      <x:c r="I24" s="16"/>
    </x:row>
    <x:row r="25">
      <x:c r="A25" s="16"/>
      <x:c r="B25" s="18"/>
      <x:c r="C25" s="16"/>
      <x:c r="D25" s="16"/>
      <x:c r="E25" s="16"/>
      <x:c r="F25" s="42"/>
      <x:c r="G25" s="16"/>
      <x:c r="H25" s="16"/>
      <x:c r="I25" s="16"/>
    </x:row>
    <x:row r="26">
      <x:c r="A26" s="16"/>
      <x:c r="B26" s="18"/>
      <x:c r="C26" s="16"/>
      <x:c r="D26" s="16"/>
      <x:c r="E26" s="16"/>
      <x:c r="F26" s="42"/>
      <x:c r="G26" s="16"/>
      <x:c r="H26" s="16"/>
      <x:c r="I26" s="16"/>
    </x:row>
    <x:row r="27">
      <x:c r="A27" s="16"/>
      <x:c r="B27" s="18"/>
      <x:c r="C27" s="16"/>
      <x:c r="D27" s="16"/>
      <x:c r="E27" s="16"/>
      <x:c r="F27" s="42"/>
      <x:c r="G27" s="16"/>
      <x:c r="H27" s="16"/>
      <x:c r="I27" s="16"/>
    </x:row>
    <x:row r="28">
      <x:c r="A28" s="16"/>
      <x:c r="B28" s="18"/>
      <x:c r="C28" s="16"/>
      <x:c r="D28" s="16"/>
      <x:c r="E28" s="16"/>
      <x:c r="F28" s="42"/>
      <x:c r="G28" s="16"/>
      <x:c r="H28" s="16"/>
      <x:c r="I28" s="16"/>
    </x:row>
    <x:row r="29">
      <x:c r="A29" s="16"/>
      <x:c r="B29" s="18"/>
      <x:c r="C29" s="16"/>
      <x:c r="D29" s="16"/>
      <x:c r="E29" s="16"/>
      <x:c r="F29" s="42"/>
      <x:c r="G29" s="16"/>
      <x:c r="H29" s="16"/>
      <x:c r="I29" s="16"/>
    </x:row>
    <x:row r="30">
      <x:c r="A30" s="16"/>
      <x:c r="B30" s="18"/>
      <x:c r="C30" s="16"/>
      <x:c r="D30" s="16"/>
      <x:c r="E30" s="16"/>
      <x:c r="F30" s="42"/>
      <x:c r="G30" s="16"/>
      <x:c r="H30" s="16"/>
      <x:c r="I30" s="16"/>
    </x:row>
    <x:row r="31">
      <x:c r="A31" s="16"/>
      <x:c r="B31" s="18"/>
      <x:c r="C31" s="16"/>
      <x:c r="D31" s="16"/>
      <x:c r="E31" s="16"/>
      <x:c r="F31" s="42"/>
      <x:c r="G31" s="16"/>
      <x:c r="H31" s="16"/>
      <x:c r="I31" s="16"/>
    </x:row>
    <x:row r="32">
      <x:c r="A32" s="16"/>
      <x:c r="B32" s="18"/>
      <x:c r="C32" s="16"/>
      <x:c r="D32" s="16"/>
      <x:c r="E32" s="16"/>
      <x:c r="F32" s="42"/>
      <x:c r="G32" s="16"/>
      <x:c r="H32" s="16"/>
      <x:c r="I32" s="16"/>
    </x:row>
    <x:row r="33">
      <x:c r="A33" s="16"/>
      <x:c r="B33" s="18"/>
      <x:c r="C33" s="16"/>
      <x:c r="D33" s="16"/>
      <x:c r="E33" s="16"/>
      <x:c r="F33" s="42"/>
      <x:c r="G33" s="16"/>
      <x:c r="H33" s="16"/>
      <x:c r="I33" s="16"/>
    </x:row>
    <x:row r="34">
      <x:c r="A34" s="16"/>
      <x:c r="B34" s="18"/>
      <x:c r="C34" s="16"/>
      <x:c r="D34" s="16"/>
      <x:c r="E34" s="16"/>
      <x:c r="F34" s="42"/>
      <x:c r="G34" s="16"/>
      <x:c r="H34" s="16"/>
      <x:c r="I34" s="16"/>
    </x:row>
    <x:row r="35">
      <x:c r="A35" s="16"/>
      <x:c r="B35" s="18"/>
      <x:c r="C35" s="16"/>
      <x:c r="D35" s="16"/>
      <x:c r="E35" s="16"/>
      <x:c r="F35" s="42"/>
      <x:c r="G35" s="16"/>
      <x:c r="H35" s="16"/>
      <x:c r="I35" s="16"/>
    </x:row>
    <x:row r="36">
      <x:c r="A36" s="16"/>
      <x:c r="B36" s="18"/>
      <x:c r="C36" s="16"/>
      <x:c r="D36" s="16"/>
      <x:c r="E36" s="16"/>
      <x:c r="F36" s="42"/>
      <x:c r="G36" s="16"/>
      <x:c r="H36" s="16"/>
      <x:c r="I36" s="16"/>
    </x:row>
    <x:row r="37">
      <x:c r="A37" s="16"/>
      <x:c r="B37" s="18"/>
      <x:c r="C37" s="16"/>
      <x:c r="D37" s="16"/>
      <x:c r="E37" s="16"/>
      <x:c r="F37" s="42"/>
      <x:c r="G37" s="16"/>
      <x:c r="H37" s="16"/>
      <x:c r="I37" s="16"/>
    </x:row>
    <x:row r="38">
      <x:c r="A38" s="16"/>
      <x:c r="B38" s="18"/>
      <x:c r="C38" s="16"/>
      <x:c r="D38" s="16"/>
      <x:c r="E38" s="16"/>
      <x:c r="F38" s="42"/>
      <x:c r="G38" s="16"/>
      <x:c r="H38" s="16"/>
      <x:c r="I38" s="16"/>
    </x:row>
    <x:row r="39">
      <x:c r="A39" s="16"/>
      <x:c r="B39" s="18"/>
      <x:c r="C39" s="16"/>
      <x:c r="D39" s="16"/>
      <x:c r="E39" s="16"/>
      <x:c r="F39" s="42"/>
      <x:c r="G39" s="16"/>
      <x:c r="H39" s="16"/>
      <x:c r="I39" s="16"/>
    </x:row>
    <x:row r="40">
      <x:c r="A40" s="16"/>
      <x:c r="B40" s="18"/>
      <x:c r="C40" s="16"/>
      <x:c r="D40" s="16"/>
      <x:c r="E40" s="16"/>
      <x:c r="F40" s="42"/>
      <x:c r="G40" s="16"/>
      <x:c r="H40" s="16"/>
      <x:c r="I40" s="16"/>
    </x:row>
    <x:row r="41">
      <x:c r="A41" s="16"/>
      <x:c r="B41" s="18"/>
      <x:c r="C41" s="16"/>
      <x:c r="D41" s="16"/>
      <x:c r="E41" s="16"/>
      <x:c r="F41" s="42"/>
      <x:c r="G41" s="16"/>
      <x:c r="H41" s="16"/>
      <x:c r="I41" s="16"/>
    </x:row>
    <x:row r="42">
      <x:c r="A42" s="16"/>
      <x:c r="B42" s="18"/>
      <x:c r="C42" s="16"/>
      <x:c r="D42" s="16"/>
      <x:c r="E42" s="16"/>
      <x:c r="F42" s="42"/>
      <x:c r="G42" s="16"/>
      <x:c r="H42" s="16"/>
      <x:c r="I42" s="16"/>
    </x:row>
    <x:row r="43">
      <x:c r="A43" s="16"/>
      <x:c r="B43" s="18"/>
      <x:c r="C43" s="16"/>
      <x:c r="D43" s="16"/>
      <x:c r="E43" s="16"/>
      <x:c r="F43" s="42"/>
      <x:c r="G43" s="16"/>
      <x:c r="H43" s="16"/>
      <x:c r="I43" s="16"/>
    </x:row>
    <x:row r="44">
      <x:c r="A44" s="16"/>
      <x:c r="B44" s="18"/>
      <x:c r="C44" s="16"/>
      <x:c r="D44" s="16"/>
      <x:c r="E44" s="16"/>
      <x:c r="F44" s="42"/>
      <x:c r="G44" s="16"/>
      <x:c r="H44" s="16"/>
      <x:c r="I44" s="16"/>
    </x:row>
    <x:row r="45">
      <x:c r="A45" s="16"/>
      <x:c r="B45" s="18"/>
      <x:c r="C45" s="16"/>
      <x:c r="D45" s="16"/>
      <x:c r="E45" s="16"/>
      <x:c r="F45" s="42"/>
      <x:c r="G45" s="16"/>
      <x:c r="H45" s="16"/>
      <x:c r="I45" s="16"/>
    </x:row>
    <x:row r="46">
      <x:c r="A46" s="16"/>
      <x:c r="B46" s="18"/>
      <x:c r="C46" s="16"/>
      <x:c r="D46" s="16"/>
      <x:c r="E46" s="16"/>
      <x:c r="F46" s="42"/>
      <x:c r="G46" s="16"/>
      <x:c r="H46" s="16"/>
      <x:c r="I46" s="16"/>
    </x:row>
    <x:row r="47">
      <x:c r="A47" s="16"/>
      <x:c r="B47" s="18"/>
      <x:c r="C47" s="16"/>
      <x:c r="D47" s="16"/>
      <x:c r="E47" s="16"/>
      <x:c r="F47" s="42"/>
      <x:c r="G47" s="16"/>
      <x:c r="H47" s="16"/>
      <x:c r="I47" s="16"/>
    </x:row>
    <x:row r="48">
      <x:c r="A48" s="16"/>
      <x:c r="B48" s="18"/>
      <x:c r="C48" s="16"/>
      <x:c r="D48" s="16"/>
      <x:c r="E48" s="16"/>
      <x:c r="F48" s="42"/>
      <x:c r="G48" s="16"/>
      <x:c r="H48" s="16"/>
      <x:c r="I48" s="16"/>
    </x:row>
    <x:row r="49">
      <x:c r="A49" s="16"/>
      <x:c r="B49" s="18"/>
      <x:c r="C49" s="16"/>
      <x:c r="D49" s="16"/>
      <x:c r="E49" s="16"/>
      <x:c r="F49" s="42"/>
      <x:c r="G49" s="16"/>
      <x:c r="H49" s="16"/>
      <x:c r="I49" s="16"/>
    </x:row>
    <x:row r="50">
      <x:c r="A50" s="16"/>
      <x:c r="B50" s="18"/>
      <x:c r="C50" s="16"/>
      <x:c r="D50" s="16"/>
      <x:c r="E50" s="16"/>
      <x:c r="F50" s="42"/>
      <x:c r="G50" s="16"/>
      <x:c r="H50" s="16"/>
      <x:c r="I50" s="16"/>
    </x:row>
    <x:row r="51">
      <x:c r="A51" s="16"/>
      <x:c r="B51" s="18"/>
      <x:c r="C51" s="16"/>
      <x:c r="D51" s="16"/>
      <x:c r="E51" s="16"/>
      <x:c r="F51" s="42"/>
      <x:c r="G51" s="16"/>
      <x:c r="H51" s="16"/>
      <x:c r="I51" s="16"/>
    </x:row>
    <x:row r="52">
      <x:c r="A52" s="16"/>
      <x:c r="B52" s="18"/>
      <x:c r="C52" s="16"/>
      <x:c r="D52" s="16"/>
      <x:c r="E52" s="16"/>
      <x:c r="F52" s="42"/>
      <x:c r="G52" s="16"/>
      <x:c r="H52" s="16"/>
      <x:c r="I52" s="16"/>
    </x:row>
    <x:row r="53">
      <x:c r="A53" s="16"/>
      <x:c r="B53" s="18"/>
      <x:c r="C53" s="16"/>
      <x:c r="D53" s="16"/>
      <x:c r="E53" s="16"/>
      <x:c r="F53" s="42"/>
      <x:c r="G53" s="16"/>
      <x:c r="H53" s="16"/>
      <x:c r="I53" s="16"/>
    </x:row>
    <x:row r="54">
      <x:c r="A54" s="16"/>
      <x:c r="B54" s="18"/>
      <x:c r="C54" s="16"/>
      <x:c r="D54" s="16"/>
      <x:c r="E54" s="16"/>
      <x:c r="F54" s="42"/>
      <x:c r="G54" s="16"/>
      <x:c r="H54" s="16"/>
      <x:c r="I54" s="16"/>
    </x:row>
    <x:row r="55">
      <x:c r="A55" s="16"/>
      <x:c r="B55" s="18"/>
      <x:c r="C55" s="16"/>
      <x:c r="D55" s="16"/>
      <x:c r="E55" s="16"/>
      <x:c r="F55" s="42"/>
      <x:c r="G55" s="16"/>
      <x:c r="H55" s="16"/>
      <x:c r="I55" s="16"/>
    </x:row>
    <x:row r="56">
      <x:c r="A56" s="16"/>
      <x:c r="B56" s="18"/>
      <x:c r="C56" s="16"/>
      <x:c r="D56" s="16"/>
      <x:c r="E56" s="16"/>
      <x:c r="F56" s="42"/>
      <x:c r="G56" s="16"/>
      <x:c r="H56" s="16"/>
      <x:c r="I56" s="16"/>
    </x:row>
    <x:row r="57">
      <x:c r="A57" s="16"/>
      <x:c r="B57" s="18"/>
      <x:c r="C57" s="16"/>
      <x:c r="D57" s="16"/>
      <x:c r="E57" s="16"/>
      <x:c r="F57" s="42"/>
      <x:c r="G57" s="16"/>
      <x:c r="H57" s="16"/>
      <x:c r="I57" s="16"/>
    </x:row>
    <x:row r="58">
      <x:c r="A58" s="16"/>
      <x:c r="B58" s="18"/>
      <x:c r="C58" s="16"/>
      <x:c r="D58" s="16"/>
      <x:c r="E58" s="16"/>
      <x:c r="F58" s="42"/>
      <x:c r="G58" s="16"/>
      <x:c r="H58" s="16"/>
      <x:c r="I58" s="16"/>
    </x:row>
    <x:row r="59">
      <x:c r="A59" s="16"/>
      <x:c r="B59" s="18"/>
      <x:c r="C59" s="16"/>
      <x:c r="D59" s="16"/>
      <x:c r="E59" s="16"/>
      <x:c r="F59" s="42"/>
      <x:c r="G59" s="16"/>
      <x:c r="H59" s="16"/>
      <x:c r="I59" s="16"/>
    </x:row>
    <x:row r="60">
      <x:c r="A60" s="16"/>
      <x:c r="B60" s="18"/>
      <x:c r="C60" s="16"/>
      <x:c r="D60" s="16"/>
      <x:c r="E60" s="16"/>
      <x:c r="F60" s="42"/>
      <x:c r="G60" s="16"/>
      <x:c r="H60" s="16"/>
      <x:c r="I60" s="16"/>
    </x:row>
    <x:row r="61">
      <x:c r="A61" s="16"/>
      <x:c r="B61" s="18"/>
      <x:c r="C61" s="16"/>
      <x:c r="D61" s="16"/>
      <x:c r="E61" s="16"/>
      <x:c r="F61" s="42"/>
      <x:c r="G61" s="16"/>
      <x:c r="H61" s="16"/>
      <x:c r="I61" s="16"/>
    </x:row>
    <x:row r="62">
      <x:c r="A62" s="16"/>
      <x:c r="B62" s="18"/>
      <x:c r="C62" s="16"/>
      <x:c r="D62" s="16"/>
      <x:c r="E62" s="16"/>
      <x:c r="F62" s="42"/>
      <x:c r="G62" s="16"/>
      <x:c r="H62" s="16"/>
      <x:c r="I62" s="16"/>
    </x:row>
    <x:row r="63">
      <x:c r="A63" s="16"/>
      <x:c r="B63" s="18"/>
      <x:c r="C63" s="16"/>
      <x:c r="D63" s="16"/>
      <x:c r="E63" s="16"/>
      <x:c r="F63" s="42"/>
      <x:c r="G63" s="16"/>
      <x:c r="H63" s="16"/>
      <x:c r="I63" s="16"/>
    </x:row>
    <x:row r="64">
      <x:c r="A64" s="16"/>
      <x:c r="B64" s="18"/>
      <x:c r="C64" s="16"/>
      <x:c r="D64" s="16"/>
      <x:c r="E64" s="16"/>
      <x:c r="F64" s="42"/>
      <x:c r="G64" s="16"/>
      <x:c r="H64" s="16"/>
      <x:c r="I64" s="16"/>
    </x:row>
    <x:row r="65">
      <x:c r="A65" s="16"/>
      <x:c r="B65" s="18"/>
      <x:c r="C65" s="16"/>
      <x:c r="D65" s="16"/>
      <x:c r="E65" s="16"/>
      <x:c r="F65" s="42"/>
      <x:c r="G65" s="16"/>
      <x:c r="H65" s="16"/>
      <x:c r="I65" s="16"/>
    </x:row>
    <x:row r="66">
      <x:c r="A66" s="16"/>
      <x:c r="B66" s="18"/>
      <x:c r="C66" s="16"/>
      <x:c r="D66" s="16"/>
      <x:c r="E66" s="16"/>
      <x:c r="F66" s="42"/>
      <x:c r="G66" s="16"/>
      <x:c r="H66" s="16"/>
      <x:c r="I66" s="16"/>
    </x:row>
    <x:row r="67">
      <x:c r="A67" s="16"/>
      <x:c r="B67" s="18"/>
      <x:c r="C67" s="16"/>
      <x:c r="D67" s="16"/>
      <x:c r="E67" s="16"/>
      <x:c r="F67" s="42"/>
      <x:c r="G67" s="16"/>
      <x:c r="H67" s="16"/>
      <x:c r="I67" s="16"/>
    </x:row>
    <x:row r="68">
      <x:c r="A68" s="16"/>
      <x:c r="B68" s="18"/>
      <x:c r="C68" s="16"/>
      <x:c r="D68" s="16"/>
      <x:c r="E68" s="16"/>
      <x:c r="F68" s="42"/>
      <x:c r="G68" s="16"/>
      <x:c r="H68" s="16"/>
      <x:c r="I68" s="16"/>
    </x:row>
    <x:row r="69">
      <x:c r="A69" s="16"/>
      <x:c r="B69" s="18"/>
      <x:c r="C69" s="16"/>
      <x:c r="D69" s="16"/>
      <x:c r="E69" s="16"/>
      <x:c r="F69" s="42"/>
      <x:c r="G69" s="16"/>
      <x:c r="H69" s="16"/>
      <x:c r="I69" s="16"/>
    </x:row>
    <x:row r="70">
      <x:c r="A70" s="16"/>
      <x:c r="B70" s="18"/>
      <x:c r="C70" s="16"/>
      <x:c r="D70" s="16"/>
      <x:c r="E70" s="16"/>
      <x:c r="F70" s="42"/>
      <x:c r="G70" s="16"/>
      <x:c r="H70" s="16"/>
      <x:c r="I70" s="16"/>
    </x:row>
    <x:row r="71">
      <x:c r="A71" s="16"/>
      <x:c r="B71" s="18"/>
      <x:c r="C71" s="16"/>
      <x:c r="D71" s="16"/>
      <x:c r="E71" s="16"/>
      <x:c r="F71" s="42"/>
      <x:c r="G71" s="16"/>
      <x:c r="H71" s="16"/>
      <x:c r="I71" s="16"/>
    </x:row>
    <x:row r="72">
      <x:c r="A72" s="16"/>
      <x:c r="B72" s="18"/>
      <x:c r="C72" s="16"/>
      <x:c r="D72" s="16"/>
      <x:c r="E72" s="16"/>
      <x:c r="F72" s="42"/>
      <x:c r="G72" s="16"/>
      <x:c r="H72" s="16"/>
      <x:c r="I72" s="16"/>
    </x:row>
    <x:row r="73">
      <x:c r="A73" s="16"/>
      <x:c r="B73" s="18"/>
      <x:c r="C73" s="16"/>
      <x:c r="D73" s="16"/>
      <x:c r="E73" s="16"/>
      <x:c r="F73" s="42"/>
      <x:c r="G73" s="16"/>
      <x:c r="H73" s="16"/>
      <x:c r="I73" s="16"/>
    </x:row>
    <x:row r="74">
      <x:c r="A74" s="16"/>
      <x:c r="B74" s="18"/>
      <x:c r="C74" s="16"/>
      <x:c r="D74" s="16"/>
      <x:c r="E74" s="16"/>
      <x:c r="F74" s="42"/>
      <x:c r="G74" s="16"/>
      <x:c r="H74" s="16"/>
      <x:c r="I74" s="16"/>
    </x:row>
    <x:row r="75">
      <x:c r="A75" s="16"/>
      <x:c r="B75" s="18"/>
      <x:c r="C75" s="16"/>
      <x:c r="D75" s="16"/>
      <x:c r="E75" s="16"/>
      <x:c r="F75" s="42"/>
      <x:c r="G75" s="16"/>
      <x:c r="H75" s="16"/>
      <x:c r="I75" s="16"/>
    </x:row>
    <x:row r="76">
      <x:c r="A76" s="16"/>
      <x:c r="B76" s="18"/>
      <x:c r="C76" s="16"/>
      <x:c r="D76" s="16"/>
      <x:c r="E76" s="16"/>
      <x:c r="F76" s="42"/>
      <x:c r="G76" s="16"/>
      <x:c r="H76" s="16"/>
      <x:c r="I76" s="16"/>
    </x:row>
    <x:row r="77">
      <x:c r="A77" s="16"/>
      <x:c r="B77" s="18"/>
      <x:c r="C77" s="16"/>
      <x:c r="D77" s="16"/>
      <x:c r="E77" s="16"/>
      <x:c r="F77" s="42"/>
      <x:c r="G77" s="16"/>
      <x:c r="H77" s="16"/>
      <x:c r="I77" s="16"/>
    </x:row>
    <x:row r="78">
      <x:c r="A78" s="16"/>
      <x:c r="B78" s="18"/>
      <x:c r="C78" s="16"/>
      <x:c r="D78" s="16"/>
      <x:c r="E78" s="16"/>
      <x:c r="F78" s="42"/>
      <x:c r="G78" s="16"/>
      <x:c r="H78" s="16"/>
      <x:c r="I78" s="16"/>
    </x:row>
    <x:row r="79">
      <x:c r="A79" s="16"/>
      <x:c r="B79" s="18"/>
      <x:c r="C79" s="16"/>
      <x:c r="D79" s="16"/>
      <x:c r="E79" s="16"/>
      <x:c r="F79" s="42"/>
      <x:c r="G79" s="16"/>
      <x:c r="H79" s="16"/>
      <x:c r="I79" s="16"/>
    </x:row>
    <x:row r="80">
      <x:c r="A80" s="16"/>
      <x:c r="B80" s="18"/>
      <x:c r="C80" s="16"/>
      <x:c r="D80" s="16"/>
      <x:c r="E80" s="16"/>
      <x:c r="F80" s="42"/>
      <x:c r="G80" s="16"/>
      <x:c r="H80" s="16"/>
      <x:c r="I80" s="16"/>
    </x:row>
    <x:row r="81">
      <x:c r="A81" s="16"/>
      <x:c r="B81" s="18"/>
      <x:c r="C81" s="16"/>
      <x:c r="D81" s="16"/>
      <x:c r="E81" s="16"/>
      <x:c r="F81" s="42"/>
      <x:c r="G81" s="16"/>
      <x:c r="H81" s="16"/>
      <x:c r="I81" s="16"/>
    </x:row>
    <x:row r="82">
      <x:c r="A82" s="16"/>
      <x:c r="B82" s="18"/>
      <x:c r="C82" s="16"/>
      <x:c r="D82" s="16"/>
      <x:c r="E82" s="16"/>
      <x:c r="F82" s="42"/>
      <x:c r="G82" s="16"/>
      <x:c r="H82" s="16"/>
      <x:c r="I82" s="16"/>
    </x:row>
    <x:row r="83">
      <x:c r="A83" s="16"/>
      <x:c r="B83" s="18"/>
      <x:c r="C83" s="16"/>
      <x:c r="D83" s="16"/>
      <x:c r="E83" s="16"/>
      <x:c r="F83" s="42"/>
      <x:c r="G83" s="16"/>
      <x:c r="H83" s="16"/>
      <x:c r="I83" s="16"/>
    </x:row>
    <x:row r="84">
      <x:c r="A84" s="16"/>
      <x:c r="B84" s="18"/>
      <x:c r="C84" s="16"/>
      <x:c r="D84" s="16"/>
      <x:c r="E84" s="16"/>
      <x:c r="F84" s="42"/>
      <x:c r="G84" s="16"/>
      <x:c r="H84" s="16"/>
      <x:c r="I84" s="16"/>
    </x:row>
    <x:row r="85">
      <x:c r="A85" s="16"/>
      <x:c r="B85" s="18"/>
      <x:c r="C85" s="16"/>
      <x:c r="D85" s="16"/>
      <x:c r="E85" s="16"/>
      <x:c r="F85" s="42"/>
      <x:c r="G85" s="16"/>
      <x:c r="H85" s="16"/>
      <x:c r="I85" s="16"/>
    </x:row>
    <x:row r="86">
      <x:c r="A86" s="16"/>
      <x:c r="B86" s="18"/>
      <x:c r="C86" s="16"/>
      <x:c r="D86" s="16"/>
      <x:c r="E86" s="16"/>
      <x:c r="F86" s="42"/>
      <x:c r="G86" s="16"/>
      <x:c r="H86" s="16"/>
      <x:c r="I86" s="16"/>
    </x:row>
    <x:row r="87">
      <x:c r="A87" s="16"/>
      <x:c r="B87" s="18"/>
      <x:c r="C87" s="16"/>
      <x:c r="D87" s="16"/>
      <x:c r="E87" s="16"/>
      <x:c r="F87" s="42"/>
      <x:c r="G87" s="16"/>
      <x:c r="H87" s="16"/>
      <x:c r="I87" s="16"/>
    </x:row>
    <x:row r="88">
      <x:c r="A88" s="16"/>
      <x:c r="B88" s="18"/>
      <x:c r="C88" s="16"/>
      <x:c r="D88" s="16"/>
      <x:c r="E88" s="16"/>
      <x:c r="F88" s="42"/>
      <x:c r="G88" s="16"/>
      <x:c r="H88" s="16"/>
      <x:c r="I88" s="16"/>
    </x:row>
    <x:row r="89">
      <x:c r="A89" s="16"/>
      <x:c r="B89" s="18"/>
      <x:c r="C89" s="16"/>
      <x:c r="D89" s="16"/>
      <x:c r="E89" s="16"/>
      <x:c r="F89" s="42"/>
      <x:c r="G89" s="16"/>
      <x:c r="H89" s="16"/>
      <x:c r="I89" s="16"/>
    </x:row>
    <x:row r="90">
      <x:c r="A90" s="16"/>
      <x:c r="B90" s="18"/>
      <x:c r="C90" s="16"/>
      <x:c r="D90" s="16"/>
      <x:c r="E90" s="16"/>
      <x:c r="F90" s="42"/>
      <x:c r="G90" s="16"/>
      <x:c r="H90" s="16"/>
      <x:c r="I90" s="16"/>
    </x:row>
    <x:row r="91">
      <x:c r="A91" s="16"/>
      <x:c r="B91" s="18"/>
      <x:c r="C91" s="16"/>
      <x:c r="D91" s="16"/>
      <x:c r="E91" s="16"/>
      <x:c r="F91" s="42"/>
      <x:c r="G91" s="16"/>
      <x:c r="H91" s="16"/>
      <x:c r="I91" s="16"/>
    </x:row>
    <x:row r="92">
      <x:c r="A92" s="16"/>
      <x:c r="B92" s="18"/>
      <x:c r="C92" s="16"/>
      <x:c r="D92" s="16"/>
      <x:c r="E92" s="16"/>
      <x:c r="F92" s="42"/>
      <x:c r="G92" s="16"/>
      <x:c r="H92" s="16"/>
      <x:c r="I92" s="16"/>
    </x:row>
    <x:row r="93">
      <x:c r="A93" s="16"/>
      <x:c r="B93" s="18"/>
      <x:c r="C93" s="16"/>
      <x:c r="D93" s="16"/>
      <x:c r="E93" s="16"/>
      <x:c r="F93" s="42"/>
      <x:c r="G93" s="16"/>
      <x:c r="H93" s="16"/>
      <x:c r="I93" s="16"/>
    </x:row>
    <x:row r="94">
      <x:c r="A94" s="16"/>
      <x:c r="B94" s="18"/>
      <x:c r="C94" s="16"/>
      <x:c r="D94" s="16"/>
      <x:c r="E94" s="16"/>
      <x:c r="F94" s="42"/>
      <x:c r="G94" s="16"/>
      <x:c r="H94" s="16"/>
      <x:c r="I94" s="16"/>
    </x:row>
    <x:row r="95">
      <x:c r="A95" s="16"/>
      <x:c r="B95" s="18"/>
      <x:c r="C95" s="16"/>
      <x:c r="D95" s="16"/>
      <x:c r="E95" s="16"/>
      <x:c r="F95" s="42"/>
      <x:c r="G95" s="16"/>
      <x:c r="H95" s="16"/>
      <x:c r="I95" s="16"/>
    </x:row>
    <x:row r="96">
      <x:c r="A96" s="16"/>
      <x:c r="B96" s="18"/>
      <x:c r="C96" s="16"/>
      <x:c r="D96" s="16"/>
      <x:c r="E96" s="16"/>
      <x:c r="F96" s="42"/>
      <x:c r="G96" s="16"/>
      <x:c r="H96" s="16"/>
      <x:c r="I96" s="16"/>
    </x:row>
    <x:row r="97">
      <x:c r="A97" s="16"/>
      <x:c r="B97" s="18"/>
      <x:c r="C97" s="16"/>
      <x:c r="D97" s="16"/>
      <x:c r="E97" s="16"/>
      <x:c r="F97" s="42"/>
      <x:c r="G97" s="16"/>
      <x:c r="H97" s="16"/>
      <x:c r="I97" s="16"/>
    </x:row>
    <x:row r="98">
      <x:c r="A98" s="16"/>
      <x:c r="B98" s="18"/>
      <x:c r="C98" s="16"/>
      <x:c r="D98" s="16"/>
      <x:c r="E98" s="16"/>
      <x:c r="F98" s="42"/>
      <x:c r="G98" s="16"/>
      <x:c r="H98" s="16"/>
      <x:c r="I98" s="16"/>
    </x:row>
    <x:row r="99">
      <x:c r="A99" s="16"/>
      <x:c r="B99" s="18"/>
      <x:c r="C99" s="16"/>
      <x:c r="D99" s="16"/>
      <x:c r="E99" s="16"/>
      <x:c r="F99" s="42"/>
      <x:c r="G99" s="16"/>
      <x:c r="H99" s="16"/>
      <x:c r="I99" s="16"/>
    </x:row>
    <x:row r="100">
      <x:c r="A100" s="16"/>
      <x:c r="B100" s="18"/>
      <x:c r="C100" s="16"/>
      <x:c r="D100" s="16"/>
      <x:c r="E100" s="16"/>
      <x:c r="F100" s="42"/>
      <x:c r="G100" s="16"/>
      <x:c r="H100" s="16"/>
      <x:c r="I100" s="16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89b1d4fb94114d6d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6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</x:cols>
  <x:sheetData>
    <x:row r="1">
      <x:c r="A1" s="44" t="str">
        <x:v>General Ledger Journal | Posted Entries</x:v>
      </x:c>
    </x:row>
    <x:row r="2">
      <x:c r="A2" s="26" t="str">
        <x:v>Entry_ID</x:v>
      </x:c>
      <x:c r="B2" s="26" t="str">
        <x:v>Date</x:v>
      </x:c>
      <x:c r="C2" s="26" t="str">
        <x:v>Source</x:v>
      </x:c>
      <x:c r="D2" s="26" t="str">
        <x:v>Document_ID</x:v>
      </x:c>
      <x:c r="E2" s="26" t="str">
        <x:v>Account_ID</x:v>
      </x:c>
      <x:c r="F2" s="26" t="str">
        <x:v>Debit_USD</x:v>
      </x:c>
      <x:c r="G2" s="26" t="str">
        <x:v>Credit_USD</x:v>
      </x:c>
      <x:c r="H2" s="26" t="str">
        <x:v>Department_ID</x:v>
      </x:c>
      <x:c r="I2" s="26" t="str">
        <x:v>Counterparty_ID</x:v>
      </x:c>
      <x:c r="J2" s="26" t="str">
        <x:v>Description</x:v>
      </x:c>
    </x:row>
    <x:row r="3">
      <x:c r="A3" s="46" t="str">
        <x:v>SI-260001-1</x:v>
      </x:c>
      <x:c r="B3" s="47" t="n">
        <x:v>46267</x:v>
      </x:c>
      <x:c r="C3" s="46" t="str">
        <x:v>Sales</x:v>
      </x:c>
      <x:c r="D3" s="46" t="str">
        <x:v>SI-260001</x:v>
      </x:c>
      <x:c r="E3" s="46" t="str">
        <x:v>1100</x:v>
      </x:c>
      <x:c r="F3" s="48" t="n">
        <x:v>44100</x:v>
      </x:c>
      <x:c r="G3" s="48" t="n">
        <x:v>0</x:v>
      </x:c>
      <x:c r="H3" s="46" t="str">
        <x:v>D001</x:v>
      </x:c>
      <x:c r="I3" s="46" t="str">
        <x:v>C001</x:v>
      </x:c>
      <x:c r="J3" s="46" t="str">
        <x:v>Customer invoice</x:v>
      </x:c>
    </x:row>
    <x:row r="4">
      <x:c r="A4" s="46" t="str">
        <x:v>SI-260001-2</x:v>
      </x:c>
      <x:c r="B4" s="47" t="n">
        <x:v>46267</x:v>
      </x:c>
      <x:c r="C4" s="46" t="str">
        <x:v>Sales</x:v>
      </x:c>
      <x:c r="D4" s="46" t="str">
        <x:v>SI-260001</x:v>
      </x:c>
      <x:c r="E4" s="46" t="str">
        <x:v>4000</x:v>
      </x:c>
      <x:c r="F4" s="48" t="n">
        <x:v>0</x:v>
      </x:c>
      <x:c r="G4" s="48" t="n">
        <x:v>42000</x:v>
      </x:c>
      <x:c r="H4" s="46" t="str">
        <x:v>D001</x:v>
      </x:c>
      <x:c r="I4" s="46" t="str">
        <x:v>C001</x:v>
      </x:c>
      <x:c r="J4" s="46" t="str">
        <x:v>Sales revenue</x:v>
      </x:c>
    </x:row>
    <x:row r="5">
      <x:c r="A5" s="46" t="str">
        <x:v>SI-260001-3</x:v>
      </x:c>
      <x:c r="B5" s="47" t="n">
        <x:v>46267</x:v>
      </x:c>
      <x:c r="C5" s="46" t="str">
        <x:v>Sales</x:v>
      </x:c>
      <x:c r="D5" s="46" t="str">
        <x:v>SI-260001</x:v>
      </x:c>
      <x:c r="E5" s="46" t="str">
        <x:v>2100</x:v>
      </x:c>
      <x:c r="F5" s="48" t="n">
        <x:v>0</x:v>
      </x:c>
      <x:c r="G5" s="48" t="n">
        <x:v>2100</x:v>
      </x:c>
      <x:c r="H5" s="46" t="str">
        <x:v>D001</x:v>
      </x:c>
      <x:c r="I5" s="46" t="str">
        <x:v>C001</x:v>
      </x:c>
      <x:c r="J5" s="46" t="str">
        <x:v>Output tax</x:v>
      </x:c>
    </x:row>
    <x:row r="6">
      <x:c r="A6" s="46" t="str">
        <x:v>SI-260001-4</x:v>
      </x:c>
      <x:c r="B6" s="47" t="n">
        <x:v>46267</x:v>
      </x:c>
      <x:c r="C6" s="46" t="str">
        <x:v>Sales</x:v>
      </x:c>
      <x:c r="D6" s="46" t="str">
        <x:v>SI-260001</x:v>
      </x:c>
      <x:c r="E6" s="46" t="str">
        <x:v>5000</x:v>
      </x:c>
      <x:c r="F6" s="48" t="n">
        <x:v>25200</x:v>
      </x:c>
      <x:c r="G6" s="48" t="n">
        <x:v>0</x:v>
      </x:c>
      <x:c r="H6" s="46" t="str">
        <x:v>D001</x:v>
      </x:c>
      <x:c r="I6" s="46" t="str">
        <x:v>C001</x:v>
      </x:c>
      <x:c r="J6" s="46" t="str">
        <x:v>COGS</x:v>
      </x:c>
    </x:row>
    <x:row r="7">
      <x:c r="A7" s="46" t="str">
        <x:v>SI-260001-5</x:v>
      </x:c>
      <x:c r="B7" s="47" t="n">
        <x:v>46267</x:v>
      </x:c>
      <x:c r="C7" s="46" t="str">
        <x:v>Sales</x:v>
      </x:c>
      <x:c r="D7" s="46" t="str">
        <x:v>SI-260001</x:v>
      </x:c>
      <x:c r="E7" s="46" t="str">
        <x:v>1200</x:v>
      </x:c>
      <x:c r="F7" s="48" t="n">
        <x:v>0</x:v>
      </x:c>
      <x:c r="G7" s="48" t="n">
        <x:v>25200</x:v>
      </x:c>
      <x:c r="H7" s="46" t="str">
        <x:v>D001</x:v>
      </x:c>
      <x:c r="I7" s="46" t="str">
        <x:v>C001</x:v>
      </x:c>
      <x:c r="J7" s="46" t="str">
        <x:v>Inventory issue</x:v>
      </x:c>
    </x:row>
    <x:row r="8">
      <x:c r="A8" s="46" t="str">
        <x:v>SI-260002-1</x:v>
      </x:c>
      <x:c r="B8" s="47" t="n">
        <x:v>46270</x:v>
      </x:c>
      <x:c r="C8" s="46" t="str">
        <x:v>Sales</x:v>
      </x:c>
      <x:c r="D8" s="46" t="str">
        <x:v>SI-260002</x:v>
      </x:c>
      <x:c r="E8" s="46" t="str">
        <x:v>1100</x:v>
      </x:c>
      <x:c r="F8" s="48" t="n">
        <x:v>40425</x:v>
      </x:c>
      <x:c r="G8" s="48" t="n">
        <x:v>0</x:v>
      </x:c>
      <x:c r="H8" s="46" t="str">
        <x:v>D001</x:v>
      </x:c>
      <x:c r="I8" s="46" t="str">
        <x:v>C002</x:v>
      </x:c>
      <x:c r="J8" s="46" t="str">
        <x:v>Customer invoice</x:v>
      </x:c>
    </x:row>
    <x:row r="9">
      <x:c r="A9" s="46" t="str">
        <x:v>SI-260002-2</x:v>
      </x:c>
      <x:c r="B9" s="47" t="n">
        <x:v>46270</x:v>
      </x:c>
      <x:c r="C9" s="46" t="str">
        <x:v>Sales</x:v>
      </x:c>
      <x:c r="D9" s="46" t="str">
        <x:v>SI-260002</x:v>
      </x:c>
      <x:c r="E9" s="46" t="str">
        <x:v>4000</x:v>
      </x:c>
      <x:c r="F9" s="48" t="n">
        <x:v>0</x:v>
      </x:c>
      <x:c r="G9" s="48" t="n">
        <x:v>38500</x:v>
      </x:c>
      <x:c r="H9" s="46" t="str">
        <x:v>D001</x:v>
      </x:c>
      <x:c r="I9" s="46" t="str">
        <x:v>C002</x:v>
      </x:c>
      <x:c r="J9" s="46" t="str">
        <x:v>Sales revenue</x:v>
      </x:c>
    </x:row>
    <x:row r="10">
      <x:c r="A10" s="46" t="str">
        <x:v>SI-260002-3</x:v>
      </x:c>
      <x:c r="B10" s="47" t="n">
        <x:v>46270</x:v>
      </x:c>
      <x:c r="C10" s="46" t="str">
        <x:v>Sales</x:v>
      </x:c>
      <x:c r="D10" s="46" t="str">
        <x:v>SI-260002</x:v>
      </x:c>
      <x:c r="E10" s="46" t="str">
        <x:v>2100</x:v>
      </x:c>
      <x:c r="F10" s="48" t="n">
        <x:v>0</x:v>
      </x:c>
      <x:c r="G10" s="48" t="n">
        <x:v>1925</x:v>
      </x:c>
      <x:c r="H10" s="46" t="str">
        <x:v>D001</x:v>
      </x:c>
      <x:c r="I10" s="46" t="str">
        <x:v>C002</x:v>
      </x:c>
      <x:c r="J10" s="46" t="str">
        <x:v>Output tax</x:v>
      </x:c>
    </x:row>
    <x:row r="11">
      <x:c r="A11" s="46" t="str">
        <x:v>SI-260002-4</x:v>
      </x:c>
      <x:c r="B11" s="47" t="n">
        <x:v>46270</x:v>
      </x:c>
      <x:c r="C11" s="46" t="str">
        <x:v>Sales</x:v>
      </x:c>
      <x:c r="D11" s="46" t="str">
        <x:v>SI-260002</x:v>
      </x:c>
      <x:c r="E11" s="46" t="str">
        <x:v>5000</x:v>
      </x:c>
      <x:c r="F11" s="48" t="n">
        <x:v>21700</x:v>
      </x:c>
      <x:c r="G11" s="48" t="n">
        <x:v>0</x:v>
      </x:c>
      <x:c r="H11" s="46" t="str">
        <x:v>D001</x:v>
      </x:c>
      <x:c r="I11" s="46" t="str">
        <x:v>C002</x:v>
      </x:c>
      <x:c r="J11" s="46" t="str">
        <x:v>COGS</x:v>
      </x:c>
    </x:row>
    <x:row r="12">
      <x:c r="A12" s="46" t="str">
        <x:v>SI-260002-5</x:v>
      </x:c>
      <x:c r="B12" s="47" t="n">
        <x:v>46270</x:v>
      </x:c>
      <x:c r="C12" s="46" t="str">
        <x:v>Sales</x:v>
      </x:c>
      <x:c r="D12" s="46" t="str">
        <x:v>SI-260002</x:v>
      </x:c>
      <x:c r="E12" s="46" t="str">
        <x:v>1200</x:v>
      </x:c>
      <x:c r="F12" s="48" t="n">
        <x:v>0</x:v>
      </x:c>
      <x:c r="G12" s="48" t="n">
        <x:v>21700</x:v>
      </x:c>
      <x:c r="H12" s="46" t="str">
        <x:v>D001</x:v>
      </x:c>
      <x:c r="I12" s="46" t="str">
        <x:v>C002</x:v>
      </x:c>
      <x:c r="J12" s="46" t="str">
        <x:v>Inventory issue</x:v>
      </x:c>
    </x:row>
    <x:row r="13">
      <x:c r="A13" s="46" t="str">
        <x:v>SI-260003-1</x:v>
      </x:c>
      <x:c r="B13" s="47" t="n">
        <x:v>46274</x:v>
      </x:c>
      <x:c r="C13" s="46" t="str">
        <x:v>Sales</x:v>
      </x:c>
      <x:c r="D13" s="46" t="str">
        <x:v>SI-260003</x:v>
      </x:c>
      <x:c r="E13" s="46" t="str">
        <x:v>1100</x:v>
      </x:c>
      <x:c r="F13" s="48" t="n">
        <x:v>45360</x:v>
      </x:c>
      <x:c r="G13" s="48" t="n">
        <x:v>0</x:v>
      </x:c>
      <x:c r="H13" s="46" t="str">
        <x:v>D001</x:v>
      </x:c>
      <x:c r="I13" s="46" t="str">
        <x:v>C003</x:v>
      </x:c>
      <x:c r="J13" s="46" t="str">
        <x:v>Customer invoice</x:v>
      </x:c>
    </x:row>
    <x:row r="14">
      <x:c r="A14" s="46" t="str">
        <x:v>SI-260003-2</x:v>
      </x:c>
      <x:c r="B14" s="47" t="n">
        <x:v>46274</x:v>
      </x:c>
      <x:c r="C14" s="46" t="str">
        <x:v>Sales</x:v>
      </x:c>
      <x:c r="D14" s="46" t="str">
        <x:v>SI-260003</x:v>
      </x:c>
      <x:c r="E14" s="46" t="str">
        <x:v>4000</x:v>
      </x:c>
      <x:c r="F14" s="48" t="n">
        <x:v>0</x:v>
      </x:c>
      <x:c r="G14" s="48" t="n">
        <x:v>43200</x:v>
      </x:c>
      <x:c r="H14" s="46" t="str">
        <x:v>D001</x:v>
      </x:c>
      <x:c r="I14" s="46" t="str">
        <x:v>C003</x:v>
      </x:c>
      <x:c r="J14" s="46" t="str">
        <x:v>Sales revenue</x:v>
      </x:c>
    </x:row>
    <x:row r="15">
      <x:c r="A15" s="46" t="str">
        <x:v>SI-260003-3</x:v>
      </x:c>
      <x:c r="B15" s="47" t="n">
        <x:v>46274</x:v>
      </x:c>
      <x:c r="C15" s="46" t="str">
        <x:v>Sales</x:v>
      </x:c>
      <x:c r="D15" s="46" t="str">
        <x:v>SI-260003</x:v>
      </x:c>
      <x:c r="E15" s="46" t="str">
        <x:v>2100</x:v>
      </x:c>
      <x:c r="F15" s="48" t="n">
        <x:v>0</x:v>
      </x:c>
      <x:c r="G15" s="48" t="n">
        <x:v>2160</x:v>
      </x:c>
      <x:c r="H15" s="46" t="str">
        <x:v>D001</x:v>
      </x:c>
      <x:c r="I15" s="46" t="str">
        <x:v>C003</x:v>
      </x:c>
      <x:c r="J15" s="46" t="str">
        <x:v>Output tax</x:v>
      </x:c>
    </x:row>
    <x:row r="16">
      <x:c r="A16" s="46" t="str">
        <x:v>SI-260003-4</x:v>
      </x:c>
      <x:c r="B16" s="47" t="n">
        <x:v>46274</x:v>
      </x:c>
      <x:c r="C16" s="46" t="str">
        <x:v>Sales</x:v>
      </x:c>
      <x:c r="D16" s="46" t="str">
        <x:v>SI-260003</x:v>
      </x:c>
      <x:c r="E16" s="46" t="str">
        <x:v>5000</x:v>
      </x:c>
      <x:c r="F16" s="48" t="n">
        <x:v>28800</x:v>
      </x:c>
      <x:c r="G16" s="48" t="n">
        <x:v>0</x:v>
      </x:c>
      <x:c r="H16" s="46" t="str">
        <x:v>D001</x:v>
      </x:c>
      <x:c r="I16" s="46" t="str">
        <x:v>C003</x:v>
      </x:c>
      <x:c r="J16" s="46" t="str">
        <x:v>COGS</x:v>
      </x:c>
    </x:row>
    <x:row r="17">
      <x:c r="A17" s="46" t="str">
        <x:v>SI-260003-5</x:v>
      </x:c>
      <x:c r="B17" s="47" t="n">
        <x:v>46274</x:v>
      </x:c>
      <x:c r="C17" s="46" t="str">
        <x:v>Sales</x:v>
      </x:c>
      <x:c r="D17" s="46" t="str">
        <x:v>SI-260003</x:v>
      </x:c>
      <x:c r="E17" s="46" t="str">
        <x:v>1200</x:v>
      </x:c>
      <x:c r="F17" s="48" t="n">
        <x:v>0</x:v>
      </x:c>
      <x:c r="G17" s="48" t="n">
        <x:v>28800</x:v>
      </x:c>
      <x:c r="H17" s="46" t="str">
        <x:v>D001</x:v>
      </x:c>
      <x:c r="I17" s="46" t="str">
        <x:v>C003</x:v>
      </x:c>
      <x:c r="J17" s="46" t="str">
        <x:v>Inventory issue</x:v>
      </x:c>
    </x:row>
    <x:row r="18">
      <x:c r="A18" s="46" t="str">
        <x:v>PI-260001-1</x:v>
      </x:c>
      <x:c r="B18" s="47" t="n">
        <x:v>46268</x:v>
      </x:c>
      <x:c r="C18" s="46" t="str">
        <x:v>Purchase</x:v>
      </x:c>
      <x:c r="D18" s="46" t="str">
        <x:v>PI-260001</x:v>
      </x:c>
      <x:c r="E18" s="46" t="str">
        <x:v>1200</x:v>
      </x:c>
      <x:c r="F18" s="48" t="n">
        <x:v>32800</x:v>
      </x:c>
      <x:c r="G18" s="48" t="n">
        <x:v>0</x:v>
      </x:c>
      <x:c r="H18" s="46" t="str">
        <x:v>D003</x:v>
      </x:c>
      <x:c r="I18" s="46" t="str">
        <x:v>V001</x:v>
      </x:c>
      <x:c r="J18" s="46" t="str">
        <x:v>Purchase invoice</x:v>
      </x:c>
    </x:row>
    <x:row r="19">
      <x:c r="A19" s="46" t="str">
        <x:v>PI-260001-2</x:v>
      </x:c>
      <x:c r="B19" s="47" t="n">
        <x:v>46268</x:v>
      </x:c>
      <x:c r="C19" s="46" t="str">
        <x:v>Purchase</x:v>
      </x:c>
      <x:c r="D19" s="46" t="str">
        <x:v>PI-260001</x:v>
      </x:c>
      <x:c r="E19" s="46" t="str">
        <x:v>2100</x:v>
      </x:c>
      <x:c r="F19" s="48" t="n">
        <x:v>1640</x:v>
      </x:c>
      <x:c r="G19" s="48" t="n">
        <x:v>0</x:v>
      </x:c>
      <x:c r="H19" s="46" t="str">
        <x:v>D003</x:v>
      </x:c>
      <x:c r="I19" s="46" t="str">
        <x:v>V001</x:v>
      </x:c>
      <x:c r="J19" s="46" t="str">
        <x:v>Input tax</x:v>
      </x:c>
    </x:row>
    <x:row r="20">
      <x:c r="A20" s="46" t="str">
        <x:v>PI-260001-3</x:v>
      </x:c>
      <x:c r="B20" s="47" t="n">
        <x:v>46268</x:v>
      </x:c>
      <x:c r="C20" s="46" t="str">
        <x:v>Purchase</x:v>
      </x:c>
      <x:c r="D20" s="46" t="str">
        <x:v>PI-260001</x:v>
      </x:c>
      <x:c r="E20" s="46" t="str">
        <x:v>2000</x:v>
      </x:c>
      <x:c r="F20" s="48" t="n">
        <x:v>0</x:v>
      </x:c>
      <x:c r="G20" s="48" t="n">
        <x:v>34440</x:v>
      </x:c>
      <x:c r="H20" s="46" t="str">
        <x:v>D003</x:v>
      </x:c>
      <x:c r="I20" s="46" t="str">
        <x:v>V001</x:v>
      </x:c>
      <x:c r="J20" s="46" t="str">
        <x:v>Accounts payable</x:v>
      </x:c>
    </x:row>
    <x:row r="21">
      <x:c r="A21" s="46" t="str">
        <x:v>PI-260002-1</x:v>
      </x:c>
      <x:c r="B21" s="47" t="n">
        <x:v>46271</x:v>
      </x:c>
      <x:c r="C21" s="46" t="str">
        <x:v>Purchase</x:v>
      </x:c>
      <x:c r="D21" s="46" t="str">
        <x:v>PI-260002</x:v>
      </x:c>
      <x:c r="E21" s="46" t="str">
        <x:v>6500</x:v>
      </x:c>
      <x:c r="F21" s="48" t="n">
        <x:v>9500</x:v>
      </x:c>
      <x:c r="G21" s="48" t="n">
        <x:v>0</x:v>
      </x:c>
      <x:c r="H21" s="46" t="str">
        <x:v>D003</x:v>
      </x:c>
      <x:c r="I21" s="46" t="str">
        <x:v>V002</x:v>
      </x:c>
      <x:c r="J21" s="46" t="str">
        <x:v>Purchase invoice</x:v>
      </x:c>
    </x:row>
    <x:row r="22">
      <x:c r="A22" s="46" t="str">
        <x:v>PI-260002-2</x:v>
      </x:c>
      <x:c r="B22" s="47" t="n">
        <x:v>46271</x:v>
      </x:c>
      <x:c r="C22" s="46" t="str">
        <x:v>Purchase</x:v>
      </x:c>
      <x:c r="D22" s="46" t="str">
        <x:v>PI-260002</x:v>
      </x:c>
      <x:c r="E22" s="46" t="str">
        <x:v>2100</x:v>
      </x:c>
      <x:c r="F22" s="48" t="n">
        <x:v>475</x:v>
      </x:c>
      <x:c r="G22" s="48" t="n">
        <x:v>0</x:v>
      </x:c>
      <x:c r="H22" s="46" t="str">
        <x:v>D003</x:v>
      </x:c>
      <x:c r="I22" s="46" t="str">
        <x:v>V002</x:v>
      </x:c>
      <x:c r="J22" s="46" t="str">
        <x:v>Input tax</x:v>
      </x:c>
    </x:row>
    <x:row r="23">
      <x:c r="A23" s="46" t="str">
        <x:v>PI-260002-3</x:v>
      </x:c>
      <x:c r="B23" s="47" t="n">
        <x:v>46271</x:v>
      </x:c>
      <x:c r="C23" s="46" t="str">
        <x:v>Purchase</x:v>
      </x:c>
      <x:c r="D23" s="46" t="str">
        <x:v>PI-260002</x:v>
      </x:c>
      <x:c r="E23" s="46" t="str">
        <x:v>2000</x:v>
      </x:c>
      <x:c r="F23" s="48" t="n">
        <x:v>0</x:v>
      </x:c>
      <x:c r="G23" s="48" t="n">
        <x:v>9975</x:v>
      </x:c>
      <x:c r="H23" s="46" t="str">
        <x:v>D003</x:v>
      </x:c>
      <x:c r="I23" s="46" t="str">
        <x:v>V002</x:v>
      </x:c>
      <x:c r="J23" s="46" t="str">
        <x:v>Accounts payable</x:v>
      </x:c>
    </x:row>
    <x:row r="24">
      <x:c r="A24" s="46" t="str">
        <x:v>PI-260003-1</x:v>
      </x:c>
      <x:c r="B24" s="47" t="n">
        <x:v>46273</x:v>
      </x:c>
      <x:c r="C24" s="46" t="str">
        <x:v>Purchase</x:v>
      </x:c>
      <x:c r="D24" s="46" t="str">
        <x:v>PI-260003</x:v>
      </x:c>
      <x:c r="E24" s="46" t="str">
        <x:v>6400</x:v>
      </x:c>
      <x:c r="F24" s="48" t="n">
        <x:v>7200</x:v>
      </x:c>
      <x:c r="G24" s="48" t="n">
        <x:v>0</x:v>
      </x:c>
      <x:c r="H24" s="46" t="str">
        <x:v>D006</x:v>
      </x:c>
      <x:c r="I24" s="46" t="str">
        <x:v>V003</x:v>
      </x:c>
      <x:c r="J24" s="46" t="str">
        <x:v>Purchase invoice</x:v>
      </x:c>
    </x:row>
    <x:row r="25">
      <x:c r="A25" s="46" t="str">
        <x:v>PI-260003-2</x:v>
      </x:c>
      <x:c r="B25" s="47" t="n">
        <x:v>46273</x:v>
      </x:c>
      <x:c r="C25" s="46" t="str">
        <x:v>Purchase</x:v>
      </x:c>
      <x:c r="D25" s="46" t="str">
        <x:v>PI-260003</x:v>
      </x:c>
      <x:c r="E25" s="46" t="str">
        <x:v>2100</x:v>
      </x:c>
      <x:c r="F25" s="48" t="n">
        <x:v>360</x:v>
      </x:c>
      <x:c r="G25" s="48" t="n">
        <x:v>0</x:v>
      </x:c>
      <x:c r="H25" s="46" t="str">
        <x:v>D006</x:v>
      </x:c>
      <x:c r="I25" s="46" t="str">
        <x:v>V003</x:v>
      </x:c>
      <x:c r="J25" s="46" t="str">
        <x:v>Input tax</x:v>
      </x:c>
    </x:row>
    <x:row r="26">
      <x:c r="A26" s="46" t="str">
        <x:v>PI-260003-3</x:v>
      </x:c>
      <x:c r="B26" s="47" t="n">
        <x:v>46273</x:v>
      </x:c>
      <x:c r="C26" s="46" t="str">
        <x:v>Purchase</x:v>
      </x:c>
      <x:c r="D26" s="46" t="str">
        <x:v>PI-260003</x:v>
      </x:c>
      <x:c r="E26" s="46" t="str">
        <x:v>2000</x:v>
      </x:c>
      <x:c r="F26" s="48" t="n">
        <x:v>0</x:v>
      </x:c>
      <x:c r="G26" s="48" t="n">
        <x:v>7560</x:v>
      </x:c>
      <x:c r="H26" s="46" t="str">
        <x:v>D006</x:v>
      </x:c>
      <x:c r="I26" s="46" t="str">
        <x:v>V003</x:v>
      </x:c>
      <x:c r="J26" s="46" t="str">
        <x:v>Accounts payable</x:v>
      </x:c>
    </x:row>
    <x:row r="27">
      <x:c r="A27" s="46" t="str">
        <x:v>PI-260004-1</x:v>
      </x:c>
      <x:c r="B27" s="47" t="n">
        <x:v>46275</x:v>
      </x:c>
      <x:c r="C27" s="46" t="str">
        <x:v>Purchase</x:v>
      </x:c>
      <x:c r="D27" s="46" t="str">
        <x:v>PI-260004</x:v>
      </x:c>
      <x:c r="E27" s="46" t="str">
        <x:v>6300</x:v>
      </x:c>
      <x:c r="F27" s="48" t="n">
        <x:v>18000</x:v>
      </x:c>
      <x:c r="G27" s="48" t="n">
        <x:v>0</x:v>
      </x:c>
      <x:c r="H27" s="46" t="str">
        <x:v>D003</x:v>
      </x:c>
      <x:c r="I27" s="46" t="str">
        <x:v>V004</x:v>
      </x:c>
      <x:c r="J27" s="46" t="str">
        <x:v>Purchase invoice</x:v>
      </x:c>
    </x:row>
    <x:row r="28">
      <x:c r="A28" s="46" t="str">
        <x:v>PI-260004-2</x:v>
      </x:c>
      <x:c r="B28" s="47" t="n">
        <x:v>46275</x:v>
      </x:c>
      <x:c r="C28" s="46" t="str">
        <x:v>Purchase</x:v>
      </x:c>
      <x:c r="D28" s="46" t="str">
        <x:v>PI-260004</x:v>
      </x:c>
      <x:c r="E28" s="46" t="str">
        <x:v>2100</x:v>
      </x:c>
      <x:c r="F28" s="48" t="n">
        <x:v>900</x:v>
      </x:c>
      <x:c r="G28" s="48" t="n">
        <x:v>0</x:v>
      </x:c>
      <x:c r="H28" s="46" t="str">
        <x:v>D003</x:v>
      </x:c>
      <x:c r="I28" s="46" t="str">
        <x:v>V004</x:v>
      </x:c>
      <x:c r="J28" s="46" t="str">
        <x:v>Input tax</x:v>
      </x:c>
    </x:row>
    <x:row r="29">
      <x:c r="A29" s="46" t="str">
        <x:v>PI-260004-3</x:v>
      </x:c>
      <x:c r="B29" s="47" t="n">
        <x:v>46275</x:v>
      </x:c>
      <x:c r="C29" s="46" t="str">
        <x:v>Purchase</x:v>
      </x:c>
      <x:c r="D29" s="46" t="str">
        <x:v>PI-260004</x:v>
      </x:c>
      <x:c r="E29" s="46" t="str">
        <x:v>2000</x:v>
      </x:c>
      <x:c r="F29" s="48" t="n">
        <x:v>0</x:v>
      </x:c>
      <x:c r="G29" s="48" t="n">
        <x:v>18900</x:v>
      </x:c>
      <x:c r="H29" s="46" t="str">
        <x:v>D003</x:v>
      </x:c>
      <x:c r="I29" s="46" t="str">
        <x:v>V004</x:v>
      </x:c>
      <x:c r="J29" s="46" t="str">
        <x:v>Accounts payable</x:v>
      </x:c>
    </x:row>
    <x:row r="30">
      <x:c r="A30" s="46" t="str">
        <x:v>RC-260001-1</x:v>
      </x:c>
      <x:c r="B30" s="47" t="n">
        <x:v>46283</x:v>
      </x:c>
      <x:c r="C30" s="46" t="str">
        <x:v>Receipt</x:v>
      </x:c>
      <x:c r="D30" s="46" t="str">
        <x:v>RC-260001</x:v>
      </x:c>
      <x:c r="E30" s="46" t="str">
        <x:v>1000</x:v>
      </x:c>
      <x:c r="F30" s="48" t="n">
        <x:v>20000</x:v>
      </x:c>
      <x:c r="G30" s="48" t="n">
        <x:v>0</x:v>
      </x:c>
      <x:c r="H30" s="46" t="str">
        <x:v>D004</x:v>
      </x:c>
      <x:c r="I30" s="46" t="str">
        <x:v>C002</x:v>
      </x:c>
      <x:c r="J30" s="46" t="str">
        <x:v>Customer receipt</x:v>
      </x:c>
    </x:row>
    <x:row r="31">
      <x:c r="A31" s="46" t="str">
        <x:v>RC-260001-2</x:v>
      </x:c>
      <x:c r="B31" s="47" t="n">
        <x:v>46283</x:v>
      </x:c>
      <x:c r="C31" s="46" t="str">
        <x:v>Receipt</x:v>
      </x:c>
      <x:c r="D31" s="46" t="str">
        <x:v>RC-260001</x:v>
      </x:c>
      <x:c r="E31" s="46" t="str">
        <x:v>1100</x:v>
      </x:c>
      <x:c r="F31" s="48" t="n">
        <x:v>0</x:v>
      </x:c>
      <x:c r="G31" s="48" t="n">
        <x:v>20000</x:v>
      </x:c>
      <x:c r="H31" s="46" t="str">
        <x:v>D004</x:v>
      </x:c>
      <x:c r="I31" s="46" t="str">
        <x:v>C002</x:v>
      </x:c>
      <x:c r="J31" s="46" t="str">
        <x:v>Clear receivable</x:v>
      </x:c>
    </x:row>
    <x:row r="32">
      <x:c r="A32" s="46" t="str">
        <x:v>PAY-260001-1</x:v>
      </x:c>
      <x:c r="B32" s="47" t="n">
        <x:v>46285</x:v>
      </x:c>
      <x:c r="C32" s="46" t="str">
        <x:v>Payment</x:v>
      </x:c>
      <x:c r="D32" s="46" t="str">
        <x:v>PAY-260001</x:v>
      </x:c>
      <x:c r="E32" s="46" t="str">
        <x:v>2000</x:v>
      </x:c>
      <x:c r="F32" s="48" t="n">
        <x:v>7560</x:v>
      </x:c>
      <x:c r="G32" s="48" t="n">
        <x:v>0</x:v>
      </x:c>
      <x:c r="H32" s="46" t="str">
        <x:v>D004</x:v>
      </x:c>
      <x:c r="I32" s="46" t="str">
        <x:v>V003</x:v>
      </x:c>
      <x:c r="J32" s="46" t="str">
        <x:v>Clear payable</x:v>
      </x:c>
    </x:row>
    <x:row r="33">
      <x:c r="A33" s="46" t="str">
        <x:v>PAY-260001-2</x:v>
      </x:c>
      <x:c r="B33" s="47" t="n">
        <x:v>46285</x:v>
      </x:c>
      <x:c r="C33" s="46" t="str">
        <x:v>Payment</x:v>
      </x:c>
      <x:c r="D33" s="46" t="str">
        <x:v>PAY-260001</x:v>
      </x:c>
      <x:c r="E33" s="46" t="str">
        <x:v>1000</x:v>
      </x:c>
      <x:c r="F33" s="48" t="n">
        <x:v>0</x:v>
      </x:c>
      <x:c r="G33" s="48" t="n">
        <x:v>7560</x:v>
      </x:c>
      <x:c r="H33" s="46" t="str">
        <x:v>D004</x:v>
      </x:c>
      <x:c r="I33" s="46" t="str">
        <x:v>V003</x:v>
      </x:c>
      <x:c r="J33" s="46" t="str">
        <x:v>Vendor payment</x:v>
      </x:c>
    </x:row>
    <x:row r="34">
      <x:c r="A34" s="46" t="str">
        <x:v>JE-260001-1</x:v>
      </x:c>
      <x:c r="B34" s="47" t="n">
        <x:v>46295</x:v>
      </x:c>
      <x:c r="C34" s="46" t="str">
        <x:v>Manual JE</x:v>
      </x:c>
      <x:c r="D34" s="46" t="str">
        <x:v>JE-260001</x:v>
      </x:c>
      <x:c r="E34" s="46" t="str">
        <x:v>6100</x:v>
      </x:c>
      <x:c r="F34" s="48" t="n">
        <x:v>42000</x:v>
      </x:c>
      <x:c r="G34" s="48" t="n">
        <x:v>0</x:v>
      </x:c>
      <x:c r="H34" s="46" t="str">
        <x:v>D005</x:v>
      </x:c>
      <x:c r="I34" s="46" t="str"/>
      <x:c r="J34" s="46" t="str">
        <x:v>Month-end payroll accrual</x:v>
      </x:c>
    </x:row>
    <x:row r="35">
      <x:c r="A35" s="46" t="str">
        <x:v>JE-260001-2</x:v>
      </x:c>
      <x:c r="B35" s="47" t="n">
        <x:v>46295</x:v>
      </x:c>
      <x:c r="C35" s="46" t="str">
        <x:v>Manual JE</x:v>
      </x:c>
      <x:c r="D35" s="46" t="str">
        <x:v>JE-260001</x:v>
      </x:c>
      <x:c r="E35" s="46" t="str">
        <x:v>2000</x:v>
      </x:c>
      <x:c r="F35" s="48" t="n">
        <x:v>0</x:v>
      </x:c>
      <x:c r="G35" s="48" t="n">
        <x:v>42000</x:v>
      </x:c>
      <x:c r="H35" s="46" t="str">
        <x:v>D005</x:v>
      </x:c>
      <x:c r="I35" s="46" t="str"/>
      <x:c r="J35" s="46" t="str">
        <x:v>Month-end payroll accrual</x:v>
      </x:c>
    </x:row>
    <x:row r="36">
      <x:c r="A36" s="46" t="str">
        <x:v>JE-260002-1</x:v>
      </x:c>
      <x:c r="B36" s="47" t="n">
        <x:v>46295</x:v>
      </x:c>
      <x:c r="C36" s="46" t="str">
        <x:v>Manual JE</x:v>
      </x:c>
      <x:c r="D36" s="46" t="str">
        <x:v>JE-260002</x:v>
      </x:c>
      <x:c r="E36" s="46" t="str">
        <x:v>6700</x:v>
      </x:c>
      <x:c r="F36" s="48" t="n">
        <x:v>4500</x:v>
      </x:c>
      <x:c r="G36" s="48" t="n">
        <x:v>0</x:v>
      </x:c>
      <x:c r="H36" s="46" t="str">
        <x:v>D004</x:v>
      </x:c>
      <x:c r="I36" s="46" t="str"/>
      <x:c r="J36" s="46" t="str">
        <x:v>Monthly depreciation</x:v>
      </x:c>
    </x:row>
    <x:row r="37">
      <x:c r="A37" s="46" t="str">
        <x:v>JE-260002-2</x:v>
      </x:c>
      <x:c r="B37" s="47" t="n">
        <x:v>46295</x:v>
      </x:c>
      <x:c r="C37" s="46" t="str">
        <x:v>Manual JE</x:v>
      </x:c>
      <x:c r="D37" s="46" t="str">
        <x:v>JE-260002</x:v>
      </x:c>
      <x:c r="E37" s="46" t="str">
        <x:v>1590</x:v>
      </x:c>
      <x:c r="F37" s="48" t="n">
        <x:v>0</x:v>
      </x:c>
      <x:c r="G37" s="48" t="n">
        <x:v>4500</x:v>
      </x:c>
      <x:c r="H37" s="46" t="str">
        <x:v>D004</x:v>
      </x:c>
      <x:c r="I37" s="46" t="str"/>
      <x:c r="J37" s="46" t="str">
        <x:v>Monthly depreciation</x:v>
      </x:c>
    </x:row>
    <x:row r="38">
      <x:c r="A38" s="46" t="str">
        <x:v>JE-OPEN-2601-1</x:v>
      </x:c>
      <x:c r="B38" s="47" t="n">
        <x:v>46023</x:v>
      </x:c>
      <x:c r="C38" s="46" t="str">
        <x:v>Opening</x:v>
      </x:c>
      <x:c r="D38" s="46" t="str">
        <x:v>JE-OPEN-2601</x:v>
      </x:c>
      <x:c r="E38" s="46" t="str">
        <x:v>1000</x:v>
      </x:c>
      <x:c r="F38" s="48" t="n">
        <x:v>150000</x:v>
      </x:c>
      <x:c r="G38" s="48" t="n">
        <x:v>0</x:v>
      </x:c>
      <x:c r="H38" s="46" t="str">
        <x:v>D004</x:v>
      </x:c>
      <x:c r="I38" s="46" t="str"/>
      <x:c r="J38" s="46" t="str">
        <x:v>Opening cash</x:v>
      </x:c>
    </x:row>
    <x:row r="39">
      <x:c r="A39" s="46" t="str">
        <x:v>JE-OPEN-2601-2</x:v>
      </x:c>
      <x:c r="B39" s="47" t="n">
        <x:v>46023</x:v>
      </x:c>
      <x:c r="C39" s="46" t="str">
        <x:v>Opening</x:v>
      </x:c>
      <x:c r="D39" s="46" t="str">
        <x:v>JE-OPEN-2601</x:v>
      </x:c>
      <x:c r="E39" s="46" t="str">
        <x:v>3000</x:v>
      </x:c>
      <x:c r="F39" s="48" t="n">
        <x:v>0</x:v>
      </x:c>
      <x:c r="G39" s="48" t="n">
        <x:v>150000</x:v>
      </x:c>
      <x:c r="H39" s="46" t="str">
        <x:v>D004</x:v>
      </x:c>
      <x:c r="I39" s="46" t="str"/>
      <x:c r="J39" s="46" t="str">
        <x:v>Opening equity</x:v>
      </x:c>
    </x:row>
    <x:row r="40">
      <x:c r="A40" s="46" t="str">
        <x:v>JE-OPEN-2602-1</x:v>
      </x:c>
      <x:c r="B40" s="47" t="n">
        <x:v>46023</x:v>
      </x:c>
      <x:c r="C40" s="46" t="str">
        <x:v>Opening</x:v>
      </x:c>
      <x:c r="D40" s="46" t="str">
        <x:v>JE-OPEN-2602</x:v>
      </x:c>
      <x:c r="E40" s="46" t="str">
        <x:v>1200</x:v>
      </x:c>
      <x:c r="F40" s="48" t="n">
        <x:v>100000</x:v>
      </x:c>
      <x:c r="G40" s="48" t="n">
        <x:v>0</x:v>
      </x:c>
      <x:c r="H40" s="46" t="str">
        <x:v>D003</x:v>
      </x:c>
      <x:c r="I40" s="46" t="str"/>
      <x:c r="J40" s="46" t="str">
        <x:v>Opening inventory</x:v>
      </x:c>
    </x:row>
    <x:row r="41">
      <x:c r="A41" s="46" t="str">
        <x:v>JE-OPEN-2602-2</x:v>
      </x:c>
      <x:c r="B41" s="47" t="n">
        <x:v>46023</x:v>
      </x:c>
      <x:c r="C41" s="46" t="str">
        <x:v>Opening</x:v>
      </x:c>
      <x:c r="D41" s="46" t="str">
        <x:v>JE-OPEN-2602</x:v>
      </x:c>
      <x:c r="E41" s="46" t="str">
        <x:v>3000</x:v>
      </x:c>
      <x:c r="F41" s="48" t="n">
        <x:v>0</x:v>
      </x:c>
      <x:c r="G41" s="48" t="n">
        <x:v>100000</x:v>
      </x:c>
      <x:c r="H41" s="46" t="str">
        <x:v>D003</x:v>
      </x:c>
      <x:c r="I41" s="46" t="str"/>
      <x:c r="J41" s="46" t="str">
        <x:v>Opening equity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dd165f63bb9742a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44" t="str">
        <x:v>Trial Balance</x:v>
      </x:c>
    </x:row>
    <x:row r="2">
      <x:c r="A2" s="26" t="str">
        <x:v>Account_ID</x:v>
      </x:c>
      <x:c r="B2" s="26" t="str">
        <x:v>Account_Name</x:v>
      </x:c>
      <x:c r="C2" s="26" t="str">
        <x:v>Type</x:v>
      </x:c>
      <x:c r="D2" s="26" t="str">
        <x:v>Debit_USD</x:v>
      </x:c>
      <x:c r="E2" s="26" t="str">
        <x:v>Credit_USD</x:v>
      </x:c>
      <x:c r="F2" s="26" t="str">
        <x:v>Net_Balance_USD</x:v>
      </x:c>
      <x:c r="G2" s="26" t="str">
        <x:v>Check</x:v>
      </x:c>
    </x:row>
    <x:row r="3">
      <x:c r="A3" t="str">
        <x:v>1000</x:v>
      </x:c>
      <x:c r="B3" t="str">
        <x:v>Cash</x:v>
      </x:c>
      <x:c r="C3" t="str">
        <x:v>Asset</x:v>
      </x:c>
      <x:c r="D3" s="52" t="n">
        <x:f>SUMIF(GL_Journal!$E:$E,A3,GL_Journal!$F:$F)</x:f>
        <x:v>170000</x:v>
      </x:c>
      <x:c r="E3" s="52" t="n">
        <x:f>SUMIF(GL_Journal!$E:$E,A3,GL_Journal!$G:$G)</x:f>
        <x:v>7560</x:v>
      </x:c>
      <x:c r="F3" s="52" t="n">
        <x:f>D3-E3</x:f>
        <x:v>162440</x:v>
      </x:c>
      <x:c r="G3" s="53" t="str">
        <x:f>IF(ABS(D3-E3)&gt;=0,"OK","CHECK")</x:f>
        <x:v>OK</x:v>
      </x:c>
    </x:row>
    <x:row r="4">
      <x:c r="A4" t="str">
        <x:v>1100</x:v>
      </x:c>
      <x:c r="B4" t="str">
        <x:v>Accounts Receivable</x:v>
      </x:c>
      <x:c r="C4" t="str">
        <x:v>Asset</x:v>
      </x:c>
      <x:c r="D4" s="52" t="n">
        <x:f>SUMIF(GL_Journal!$E:$E,A4,GL_Journal!$F:$F)</x:f>
        <x:v>129885</x:v>
      </x:c>
      <x:c r="E4" s="52" t="n">
        <x:f>SUMIF(GL_Journal!$E:$E,A4,GL_Journal!$G:$G)</x:f>
        <x:v>20000</x:v>
      </x:c>
      <x:c r="F4" s="52" t="n">
        <x:f>D4-E4</x:f>
        <x:v>109885</x:v>
      </x:c>
      <x:c r="G4" s="53" t="str">
        <x:f>IF(ABS(D4-E4)&gt;=0,"OK","CHECK")</x:f>
        <x:v>OK</x:v>
      </x:c>
    </x:row>
    <x:row r="5">
      <x:c r="A5" t="str">
        <x:v>1200</x:v>
      </x:c>
      <x:c r="B5" t="str">
        <x:v>Inventory</x:v>
      </x:c>
      <x:c r="C5" t="str">
        <x:v>Asset</x:v>
      </x:c>
      <x:c r="D5" s="52" t="n">
        <x:f>SUMIF(GL_Journal!$E:$E,A5,GL_Journal!$F:$F)</x:f>
        <x:v>132800</x:v>
      </x:c>
      <x:c r="E5" s="52" t="n">
        <x:f>SUMIF(GL_Journal!$E:$E,A5,GL_Journal!$G:$G)</x:f>
        <x:v>75700</x:v>
      </x:c>
      <x:c r="F5" s="52" t="n">
        <x:f>D5-E5</x:f>
        <x:v>57100</x:v>
      </x:c>
      <x:c r="G5" s="53" t="str">
        <x:f>IF(ABS(D5-E5)&gt;=0,"OK","CHECK")</x:f>
        <x:v>OK</x:v>
      </x:c>
    </x:row>
    <x:row r="6">
      <x:c r="A6" t="str">
        <x:v>1500</x:v>
      </x:c>
      <x:c r="B6" t="str">
        <x:v>Fixed Assets</x:v>
      </x:c>
      <x:c r="C6" t="str">
        <x:v>Asset</x:v>
      </x:c>
      <x:c r="D6" s="52" t="n">
        <x:f>SUMIF(GL_Journal!$E:$E,A6,GL_Journal!$F:$F)</x:f>
        <x:v>0</x:v>
      </x:c>
      <x:c r="E6" s="52" t="n">
        <x:f>SUMIF(GL_Journal!$E:$E,A6,GL_Journal!$G:$G)</x:f>
        <x:v>0</x:v>
      </x:c>
      <x:c r="F6" s="52" t="n">
        <x:f>D6-E6</x:f>
        <x:v>0</x:v>
      </x:c>
      <x:c r="G6" s="53" t="str">
        <x:f>IF(ABS(D6-E6)&gt;=0,"OK","CHECK")</x:f>
        <x:v>OK</x:v>
      </x:c>
    </x:row>
    <x:row r="7">
      <x:c r="A7" t="str">
        <x:v>1590</x:v>
      </x:c>
      <x:c r="B7" t="str">
        <x:v>Accumulated Depreciation</x:v>
      </x:c>
      <x:c r="C7" t="str">
        <x:v>Asset</x:v>
      </x:c>
      <x:c r="D7" s="52" t="n">
        <x:f>SUMIF(GL_Journal!$E:$E,A7,GL_Journal!$F:$F)</x:f>
        <x:v>0</x:v>
      </x:c>
      <x:c r="E7" s="52" t="n">
        <x:f>SUMIF(GL_Journal!$E:$E,A7,GL_Journal!$G:$G)</x:f>
        <x:v>4500</x:v>
      </x:c>
      <x:c r="F7" s="52" t="n">
        <x:f>D7-E7</x:f>
        <x:v>-4500</x:v>
      </x:c>
      <x:c r="G7" s="53" t="str">
        <x:f>IF(ABS(D7-E7)&gt;=0,"OK","CHECK")</x:f>
        <x:v>OK</x:v>
      </x:c>
    </x:row>
    <x:row r="8">
      <x:c r="A8" t="str">
        <x:v>2000</x:v>
      </x:c>
      <x:c r="B8" t="str">
        <x:v>Accounts Payable</x:v>
      </x:c>
      <x:c r="C8" t="str">
        <x:v>Liability</x:v>
      </x:c>
      <x:c r="D8" s="52" t="n">
        <x:f>SUMIF(GL_Journal!$E:$E,A8,GL_Journal!$F:$F)</x:f>
        <x:v>7560</x:v>
      </x:c>
      <x:c r="E8" s="52" t="n">
        <x:f>SUMIF(GL_Journal!$E:$E,A8,GL_Journal!$G:$G)</x:f>
        <x:v>112875</x:v>
      </x:c>
      <x:c r="F8" s="52" t="n">
        <x:f>D8-E8</x:f>
        <x:v>-105315</x:v>
      </x:c>
      <x:c r="G8" s="53" t="str">
        <x:f>IF(ABS(D8-E8)&gt;=0,"OK","CHECK")</x:f>
        <x:v>OK</x:v>
      </x:c>
    </x:row>
    <x:row r="9">
      <x:c r="A9" t="str">
        <x:v>2100</x:v>
      </x:c>
      <x:c r="B9" t="str">
        <x:v>Tax Payable</x:v>
      </x:c>
      <x:c r="C9" t="str">
        <x:v>Liability</x:v>
      </x:c>
      <x:c r="D9" s="52" t="n">
        <x:f>SUMIF(GL_Journal!$E:$E,A9,GL_Journal!$F:$F)</x:f>
        <x:v>3375</x:v>
      </x:c>
      <x:c r="E9" s="52" t="n">
        <x:f>SUMIF(GL_Journal!$E:$E,A9,GL_Journal!$G:$G)</x:f>
        <x:v>6185</x:v>
      </x:c>
      <x:c r="F9" s="52" t="n">
        <x:f>D9-E9</x:f>
        <x:v>-2810</x:v>
      </x:c>
      <x:c r="G9" s="53" t="str">
        <x:f>IF(ABS(D9-E9)&gt;=0,"OK","CHECK")</x:f>
        <x:v>OK</x:v>
      </x:c>
    </x:row>
    <x:row r="10">
      <x:c r="A10" t="str">
        <x:v>3000</x:v>
      </x:c>
      <x:c r="B10" t="str">
        <x:v>Owner Equity</x:v>
      </x:c>
      <x:c r="C10" t="str">
        <x:v>Equity</x:v>
      </x:c>
      <x:c r="D10" s="52" t="n">
        <x:f>SUMIF(GL_Journal!$E:$E,A10,GL_Journal!$F:$F)</x:f>
        <x:v>0</x:v>
      </x:c>
      <x:c r="E10" s="52" t="n">
        <x:f>SUMIF(GL_Journal!$E:$E,A10,GL_Journal!$G:$G)</x:f>
        <x:v>250000</x:v>
      </x:c>
      <x:c r="F10" s="52" t="n">
        <x:f>D10-E10</x:f>
        <x:v>-250000</x:v>
      </x:c>
      <x:c r="G10" s="53" t="str">
        <x:f>IF(ABS(D10-E10)&gt;=0,"OK","CHECK")</x:f>
        <x:v>OK</x:v>
      </x:c>
    </x:row>
    <x:row r="11">
      <x:c r="A11" t="str">
        <x:v>4000</x:v>
      </x:c>
      <x:c r="B11" t="str">
        <x:v>Sales Revenue</x:v>
      </x:c>
      <x:c r="C11" t="str">
        <x:v>Revenue</x:v>
      </x:c>
      <x:c r="D11" s="52" t="n">
        <x:f>SUMIF(GL_Journal!$E:$E,A11,GL_Journal!$F:$F)</x:f>
        <x:v>0</x:v>
      </x:c>
      <x:c r="E11" s="52" t="n">
        <x:f>SUMIF(GL_Journal!$E:$E,A11,GL_Journal!$G:$G)</x:f>
        <x:v>123700</x:v>
      </x:c>
      <x:c r="F11" s="52" t="n">
        <x:f>D11-E11</x:f>
        <x:v>-123700</x:v>
      </x:c>
      <x:c r="G11" s="53" t="str">
        <x:f>IF(ABS(D11-E11)&gt;=0,"OK","CHECK")</x:f>
        <x:v>OK</x:v>
      </x:c>
    </x:row>
    <x:row r="12">
      <x:c r="A12" t="str">
        <x:v>5000</x:v>
      </x:c>
      <x:c r="B12" t="str">
        <x:v>COGS</x:v>
      </x:c>
      <x:c r="C12" t="str">
        <x:v>Expense</x:v>
      </x:c>
      <x:c r="D12" s="52" t="n">
        <x:f>SUMIF(GL_Journal!$E:$E,A12,GL_Journal!$F:$F)</x:f>
        <x:v>75700</x:v>
      </x:c>
      <x:c r="E12" s="52" t="n">
        <x:f>SUMIF(GL_Journal!$E:$E,A12,GL_Journal!$G:$G)</x:f>
        <x:v>0</x:v>
      </x:c>
      <x:c r="F12" s="52" t="n">
        <x:f>D12-E12</x:f>
        <x:v>75700</x:v>
      </x:c>
      <x:c r="G12" s="53" t="str">
        <x:f>IF(ABS(D12-E12)&gt;=0,"OK","CHECK")</x:f>
        <x:v>OK</x:v>
      </x:c>
    </x:row>
    <x:row r="13">
      <x:c r="A13" t="str">
        <x:v>6100</x:v>
      </x:c>
      <x:c r="B13" t="str">
        <x:v>Payroll Expense</x:v>
      </x:c>
      <x:c r="C13" t="str">
        <x:v>Expense</x:v>
      </x:c>
      <x:c r="D13" s="52" t="n">
        <x:f>SUMIF(GL_Journal!$E:$E,A13,GL_Journal!$F:$F)</x:f>
        <x:v>42000</x:v>
      </x:c>
      <x:c r="E13" s="52" t="n">
        <x:f>SUMIF(GL_Journal!$E:$E,A13,GL_Journal!$G:$G)</x:f>
        <x:v>0</x:v>
      </x:c>
      <x:c r="F13" s="52" t="n">
        <x:f>D13-E13</x:f>
        <x:v>42000</x:v>
      </x:c>
      <x:c r="G13" s="53" t="str">
        <x:f>IF(ABS(D13-E13)&gt;=0,"OK","CHECK")</x:f>
        <x:v>OK</x:v>
      </x:c>
    </x:row>
    <x:row r="14">
      <x:c r="A14" t="str">
        <x:v>6200</x:v>
      </x:c>
      <x:c r="B14" t="str">
        <x:v>Marketing Expense</x:v>
      </x:c>
      <x:c r="C14" t="str">
        <x:v>Expense</x:v>
      </x:c>
      <x:c r="D14" s="52" t="n">
        <x:f>SUMIF(GL_Journal!$E:$E,A14,GL_Journal!$F:$F)</x:f>
        <x:v>0</x:v>
      </x:c>
      <x:c r="E14" s="52" t="n">
        <x:f>SUMIF(GL_Journal!$E:$E,A14,GL_Journal!$G:$G)</x:f>
        <x:v>0</x:v>
      </x:c>
      <x:c r="F14" s="52" t="n">
        <x:f>D14-E14</x:f>
        <x:v>0</x:v>
      </x:c>
      <x:c r="G14" s="53" t="str">
        <x:f>IF(ABS(D14-E14)&gt;=0,"OK","CHECK")</x:f>
        <x:v>OK</x:v>
      </x:c>
    </x:row>
    <x:row r="15">
      <x:c r="A15" t="str">
        <x:v>6300</x:v>
      </x:c>
      <x:c r="B15" t="str">
        <x:v>Rent &amp; Facilities</x:v>
      </x:c>
      <x:c r="C15" t="str">
        <x:v>Expense</x:v>
      </x:c>
      <x:c r="D15" s="52" t="n">
        <x:f>SUMIF(GL_Journal!$E:$E,A15,GL_Journal!$F:$F)</x:f>
        <x:v>18000</x:v>
      </x:c>
      <x:c r="E15" s="52" t="n">
        <x:f>SUMIF(GL_Journal!$E:$E,A15,GL_Journal!$G:$G)</x:f>
        <x:v>0</x:v>
      </x:c>
      <x:c r="F15" s="52" t="n">
        <x:f>D15-E15</x:f>
        <x:v>18000</x:v>
      </x:c>
      <x:c r="G15" s="53" t="str">
        <x:f>IF(ABS(D15-E15)&gt;=0,"OK","CHECK")</x:f>
        <x:v>OK</x:v>
      </x:c>
    </x:row>
    <x:row r="16">
      <x:c r="A16" t="str">
        <x:v>6400</x:v>
      </x:c>
      <x:c r="B16" t="str">
        <x:v>IT &amp; Systems</x:v>
      </x:c>
      <x:c r="C16" t="str">
        <x:v>Expense</x:v>
      </x:c>
      <x:c r="D16" s="52" t="n">
        <x:f>SUMIF(GL_Journal!$E:$E,A16,GL_Journal!$F:$F)</x:f>
        <x:v>7200</x:v>
      </x:c>
      <x:c r="E16" s="52" t="n">
        <x:f>SUMIF(GL_Journal!$E:$E,A16,GL_Journal!$G:$G)</x:f>
        <x:v>0</x:v>
      </x:c>
      <x:c r="F16" s="52" t="n">
        <x:f>D16-E16</x:f>
        <x:v>7200</x:v>
      </x:c>
      <x:c r="G16" s="53" t="str">
        <x:f>IF(ABS(D16-E16)&gt;=0,"OK","CHECK")</x:f>
        <x:v>OK</x:v>
      </x:c>
    </x:row>
    <x:row r="17">
      <x:c r="A17" t="str">
        <x:v>6500</x:v>
      </x:c>
      <x:c r="B17" t="str">
        <x:v>Logistics Expense</x:v>
      </x:c>
      <x:c r="C17" t="str">
        <x:v>Expense</x:v>
      </x:c>
      <x:c r="D17" s="52" t="n">
        <x:f>SUMIF(GL_Journal!$E:$E,A17,GL_Journal!$F:$F)</x:f>
        <x:v>9500</x:v>
      </x:c>
      <x:c r="E17" s="52" t="n">
        <x:f>SUMIF(GL_Journal!$E:$E,A17,GL_Journal!$G:$G)</x:f>
        <x:v>0</x:v>
      </x:c>
      <x:c r="F17" s="52" t="n">
        <x:f>D17-E17</x:f>
        <x:v>9500</x:v>
      </x:c>
      <x:c r="G17" s="53" t="str">
        <x:f>IF(ABS(D17-E17)&gt;=0,"OK","CHECK")</x:f>
        <x:v>OK</x:v>
      </x:c>
    </x:row>
    <x:row r="18">
      <x:c r="A18" t="str">
        <x:v>6600</x:v>
      </x:c>
      <x:c r="B18" t="str">
        <x:v>G&amp;A Expense</x:v>
      </x:c>
      <x:c r="C18" t="str">
        <x:v>Expense</x:v>
      </x:c>
      <x:c r="D18" s="52" t="n">
        <x:f>SUMIF(GL_Journal!$E:$E,A18,GL_Journal!$F:$F)</x:f>
        <x:v>0</x:v>
      </x:c>
      <x:c r="E18" s="52" t="n">
        <x:f>SUMIF(GL_Journal!$E:$E,A18,GL_Journal!$G:$G)</x:f>
        <x:v>0</x:v>
      </x:c>
      <x:c r="F18" s="52" t="n">
        <x:f>D18-E18</x:f>
        <x:v>0</x:v>
      </x:c>
      <x:c r="G18" s="53" t="str">
        <x:f>IF(ABS(D18-E18)&gt;=0,"OK","CHECK")</x:f>
        <x:v>OK</x:v>
      </x:c>
    </x:row>
    <x:row r="19">
      <x:c r="A19" t="str">
        <x:v>6700</x:v>
      </x:c>
      <x:c r="B19" t="str">
        <x:v>Depreciation Expense</x:v>
      </x:c>
      <x:c r="C19" t="str">
        <x:v>Expense</x:v>
      </x:c>
      <x:c r="D19" s="52" t="n">
        <x:f>SUMIF(GL_Journal!$E:$E,A19,GL_Journal!$F:$F)</x:f>
        <x:v>4500</x:v>
      </x:c>
      <x:c r="E19" s="52" t="n">
        <x:f>SUMIF(GL_Journal!$E:$E,A19,GL_Journal!$G:$G)</x:f>
        <x:v>0</x:v>
      </x:c>
      <x:c r="F19" s="52" t="n">
        <x:f>D19-E19</x:f>
        <x:v>4500</x:v>
      </x:c>
      <x:c r="G19" s="53" t="str">
        <x:f>IF(ABS(D19-E19)&gt;=0,"OK","CHECK")</x:f>
        <x:v>OK</x:v>
      </x:c>
    </x:row>
  </x:sheetData>
  <x:mergeCells>
    <x:mergeCell ref="A1:G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20" hidden="0" customWidth="1"/>
  </x:cols>
  <x:sheetData>
    <x:row r="1">
      <x:c r="A1" s="44" t="str">
        <x:v>Profit &amp; Loss Statement</x:v>
      </x:c>
    </x:row>
    <x:row r="3">
      <x:c r="A3" s="56" t="str">
        <x:v>Revenue</x:v>
      </x:c>
      <x:c r="B3" t="str">
        <x:v>4000</x:v>
      </x:c>
      <x:c r="C3" s="40" t="n">
        <x:f>SUMIF(GL_Journal!$E:$E,B3,GL_Journal!$G:$G)-SUMIF(GL_Journal!$E:$E,B3,GL_Journal!$F:$F)</x:f>
        <x:v>123700</x:v>
      </x:c>
    </x:row>
    <x:row r="4">
      <x:c r="A4" s="56" t="str">
        <x:v>COGS</x:v>
      </x:c>
      <x:c r="B4" t="str">
        <x:v>5000</x:v>
      </x:c>
      <x:c r="C4" s="40" t="n">
        <x:f>SUMIF(GL_Journal!$E:$E,B4,GL_Journal!$F:$F)-SUMIF(GL_Journal!$E:$E,B4,GL_Journal!$G:$G)</x:f>
        <x:v>75700</x:v>
      </x:c>
    </x:row>
    <x:row r="5">
      <x:c r="A5" s="58" t="str">
        <x:v>Gross Profit</x:v>
      </x:c>
      <x:c r="B5" s="58" t="str"/>
      <x:c r="C5" s="61" t="n">
        <x:f>C3-C4</x:f>
        <x:v>48000</x:v>
      </x:c>
    </x:row>
    <x:row r="6">
      <x:c r="A6" s="56" t="str">
        <x:v>Payroll</x:v>
      </x:c>
      <x:c r="B6" t="str">
        <x:v>6100</x:v>
      </x:c>
      <x:c r="C6" s="40" t="n">
        <x:f>SUMIF(GL_Journal!$E:$E,B6,GL_Journal!$F:$F)-SUMIF(GL_Journal!$E:$E,B6,GL_Journal!$G:$G)</x:f>
        <x:v>42000</x:v>
      </x:c>
    </x:row>
    <x:row r="7">
      <x:c r="A7" s="56" t="str">
        <x:v>Marketing</x:v>
      </x:c>
      <x:c r="B7" t="str">
        <x:v>6200</x:v>
      </x:c>
      <x:c r="C7" s="40" t="n">
        <x:f>SUMIF(GL_Journal!$E:$E,B7,GL_Journal!$F:$F)-SUMIF(GL_Journal!$E:$E,B7,GL_Journal!$G:$G)</x:f>
        <x:v>0</x:v>
      </x:c>
    </x:row>
    <x:row r="8">
      <x:c r="A8" s="56" t="str">
        <x:v>Rent &amp; Facilities</x:v>
      </x:c>
      <x:c r="B8" t="str">
        <x:v>6300</x:v>
      </x:c>
      <x:c r="C8" s="40" t="n">
        <x:f>SUMIF(GL_Journal!$E:$E,B8,GL_Journal!$F:$F)-SUMIF(GL_Journal!$E:$E,B8,GL_Journal!$G:$G)</x:f>
        <x:v>18000</x:v>
      </x:c>
    </x:row>
    <x:row r="9">
      <x:c r="A9" s="56" t="str">
        <x:v>IT &amp; Systems</x:v>
      </x:c>
      <x:c r="B9" t="str">
        <x:v>6400</x:v>
      </x:c>
      <x:c r="C9" s="40" t="n">
        <x:f>SUMIF(GL_Journal!$E:$E,B9,GL_Journal!$F:$F)-SUMIF(GL_Journal!$E:$E,B9,GL_Journal!$G:$G)</x:f>
        <x:v>7200</x:v>
      </x:c>
    </x:row>
    <x:row r="10">
      <x:c r="A10" s="56" t="str">
        <x:v>Logistics</x:v>
      </x:c>
      <x:c r="B10" t="str">
        <x:v>6500</x:v>
      </x:c>
      <x:c r="C10" s="40" t="n">
        <x:f>SUMIF(GL_Journal!$E:$E,B10,GL_Journal!$F:$F)-SUMIF(GL_Journal!$E:$E,B10,GL_Journal!$G:$G)</x:f>
        <x:v>9500</x:v>
      </x:c>
    </x:row>
    <x:row r="11">
      <x:c r="A11" s="56" t="str">
        <x:v>G&amp;A</x:v>
      </x:c>
      <x:c r="B11" t="str">
        <x:v>6600</x:v>
      </x:c>
      <x:c r="C11" s="40" t="n">
        <x:f>SUMIF(GL_Journal!$E:$E,B11,GL_Journal!$F:$F)-SUMIF(GL_Journal!$E:$E,B11,GL_Journal!$G:$G)</x:f>
        <x:v>0</x:v>
      </x:c>
    </x:row>
    <x:row r="12">
      <x:c r="A12" s="56" t="str">
        <x:v>Depreciation</x:v>
      </x:c>
      <x:c r="B12" t="str">
        <x:v>6700</x:v>
      </x:c>
      <x:c r="C12" s="40" t="n">
        <x:f>SUMIF(GL_Journal!$E:$E,B12,GL_Journal!$F:$F)-SUMIF(GL_Journal!$E:$E,B12,GL_Journal!$G:$G)</x:f>
        <x:v>4500</x:v>
      </x:c>
    </x:row>
    <x:row r="13">
      <x:c r="A13" s="7" t="str">
        <x:v>Total OPEX</x:v>
      </x:c>
      <x:c r="B13" s="7" t="str"/>
      <x:c r="C13" s="67" t="n">
        <x:f>SUM(C6:C12)</x:f>
        <x:v>81200</x:v>
      </x:c>
    </x:row>
    <x:row r="14">
      <x:c r="A14" s="7" t="str">
        <x:v>Operating Profit</x:v>
      </x:c>
      <x:c r="B14" s="7" t="str"/>
      <x:c r="C14" s="67" t="n">
        <x:f>C5-C13</x:f>
        <x:v>-33200</x:v>
      </x:c>
    </x:row>
  </x:sheetData>
  <x:mergeCells>
    <x:mergeCell ref="A1:D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20" hidden="0" customWidth="1"/>
  </x:cols>
  <x:sheetData>
    <x:row r="1">
      <x:c r="A1" s="44" t="str">
        <x:v>Balance Sheet</x:v>
      </x:c>
    </x:row>
    <x:row r="3">
      <x:c r="A3" t="str">
        <x:v>Cash</x:v>
      </x:c>
      <x:c r="B3" t="str">
        <x:v>1000</x:v>
      </x:c>
      <x:c r="C3" s="40" t="n">
        <x:f>SUMIF(GL_Journal!$E:$E,B3,GL_Journal!$F:$F)-SUMIF(GL_Journal!$E:$E,B3,GL_Journal!$G:$G)</x:f>
        <x:v>162440</x:v>
      </x:c>
    </x:row>
    <x:row r="4">
      <x:c r="A4" t="str">
        <x:v>Accounts Receivable</x:v>
      </x:c>
      <x:c r="B4" t="str">
        <x:v>1100</x:v>
      </x:c>
      <x:c r="C4" s="40" t="n">
        <x:f>SUMIF(GL_Journal!$E:$E,B4,GL_Journal!$F:$F)-SUMIF(GL_Journal!$E:$E,B4,GL_Journal!$G:$G)</x:f>
        <x:v>109885</x:v>
      </x:c>
    </x:row>
    <x:row r="5">
      <x:c r="A5" t="str">
        <x:v>Inventory</x:v>
      </x:c>
      <x:c r="B5" t="str">
        <x:v>1200</x:v>
      </x:c>
      <x:c r="C5" s="40" t="n">
        <x:f>SUMIF(GL_Journal!$E:$E,B5,GL_Journal!$F:$F)-SUMIF(GL_Journal!$E:$E,B5,GL_Journal!$G:$G)</x:f>
        <x:v>57100</x:v>
      </x:c>
    </x:row>
    <x:row r="6">
      <x:c r="A6" t="str">
        <x:v>Fixed Assets</x:v>
      </x:c>
      <x:c r="B6" t="str">
        <x:v>1500</x:v>
      </x:c>
      <x:c r="C6" s="40" t="n">
        <x:f>SUMIF(GL_Journal!$E:$E,B6,GL_Journal!$F:$F)-SUMIF(GL_Journal!$E:$E,B6,GL_Journal!$G:$G)</x:f>
        <x:v>0</x:v>
      </x:c>
    </x:row>
    <x:row r="7">
      <x:c r="A7" s="7" t="str">
        <x:v>Accumulated Depreciation</x:v>
      </x:c>
      <x:c r="B7" s="7" t="str">
        <x:v>1590</x:v>
      </x:c>
      <x:c r="C7" s="67" t="n">
        <x:f>SUMIF(GL_Journal!$E:$E,B7,GL_Journal!$F:$F)-SUMIF(GL_Journal!$E:$E,B7,GL_Journal!$G:$G)</x:f>
        <x:v>-4500</x:v>
      </x:c>
    </x:row>
    <x:row r="8">
      <x:c r="A8" t="str">
        <x:v>Total Assets</x:v>
      </x:c>
      <x:c r="B8" t="str"/>
      <x:c r="C8" s="40" t="n">
        <x:f>SUM(C3:C7)</x:f>
        <x:v>324925</x:v>
      </x:c>
    </x:row>
    <x:row r="9">
      <x:c r="A9" t="str">
        <x:v>Accounts Payable</x:v>
      </x:c>
      <x:c r="B9" t="str">
        <x:v>2000</x:v>
      </x:c>
      <x:c r="C9" s="40" t="n">
        <x:f>SUMIF(GL_Journal!$E:$E,B9,GL_Journal!$G:$G)-SUMIF(GL_Journal!$E:$E,B9,GL_Journal!$F:$F)</x:f>
        <x:v>105315</x:v>
      </x:c>
    </x:row>
    <x:row r="10">
      <x:c r="A10" s="7" t="str">
        <x:v>Tax Payable</x:v>
      </x:c>
      <x:c r="B10" s="7" t="str">
        <x:v>2100</x:v>
      </x:c>
      <x:c r="C10" s="67" t="n">
        <x:f>SUMIF(GL_Journal!$E:$E,B10,GL_Journal!$G:$G)-SUMIF(GL_Journal!$E:$E,B10,GL_Journal!$F:$F)</x:f>
        <x:v>2810</x:v>
      </x:c>
    </x:row>
    <x:row r="11">
      <x:c r="A11" t="str">
        <x:v>Total Liabilities</x:v>
      </x:c>
      <x:c r="B11" t="str"/>
      <x:c r="C11" s="40" t="n">
        <x:f>SUM(C9:C10)</x:f>
        <x:v>108125</x:v>
      </x:c>
    </x:row>
    <x:row r="12">
      <x:c r="A12" t="str">
        <x:v>Owner Equity</x:v>
      </x:c>
      <x:c r="B12" t="str">
        <x:v>3000</x:v>
      </x:c>
      <x:c r="C12" s="40" t="n">
        <x:f>SUMIF(GL_Journal!$E:$E,B12,GL_Journal!$G:$G)-SUMIF(GL_Journal!$E:$E,B12,GL_Journal!$F:$F)</x:f>
        <x:v>250000</x:v>
      </x:c>
    </x:row>
    <x:row r="13">
      <x:c r="A13" s="7" t="str">
        <x:v>Current Period Profit</x:v>
      </x:c>
      <x:c r="B13" s="7" t="str"/>
      <x:c r="C13" s="67" t="n">
        <x:f>'P&amp;L'!C14</x:f>
        <x:v>-33200</x:v>
      </x:c>
    </x:row>
    <x:row r="14">
      <x:c r="A14" s="7" t="str">
        <x:v>Total Equity</x:v>
      </x:c>
      <x:c r="B14" s="7" t="str"/>
      <x:c r="C14" s="67" t="n">
        <x:f>SUM(C12:C13)</x:f>
        <x:v>216800</x:v>
      </x:c>
    </x:row>
    <x:row r="15">
      <x:c r="A15" t="str">
        <x:v>Liabilities + Equity</x:v>
      </x:c>
      <x:c r="B15" t="str"/>
      <x:c r="C15" s="40" t="n">
        <x:f>C11+C14</x:f>
        <x:v>324925</x:v>
      </x:c>
    </x:row>
    <x:row r="16">
      <x:c r="A16" t="str">
        <x:v>Balance Check</x:v>
      </x:c>
      <x:c r="B16" t="str"/>
      <x:c r="C16" t="str">
        <x:f>IF(ABS(C8-C15)&lt;0.01,"OK","CHECK")</x:f>
        <x:v>OK</x:v>
      </x:c>
    </x:row>
  </x:sheetData>
  <x:mergeCells>
    <x:mergeCell ref="A1:C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Accounts Receivable Aging</x:v>
      </x:c>
    </x:row>
    <x:row r="2">
      <x:c r="A2" s="26" t="str">
        <x:v>Invoice_ID</x:v>
      </x:c>
      <x:c r="B2" s="26" t="str">
        <x:v>Customer_ID</x:v>
      </x:c>
      <x:c r="C2" s="26" t="str">
        <x:v>Invoice_Date</x:v>
      </x:c>
      <x:c r="D2" s="26" t="str">
        <x:v>Due_Date</x:v>
      </x:c>
      <x:c r="E2" s="26" t="str">
        <x:v>Invoice_Total_USD</x:v>
      </x:c>
      <x:c r="F2" s="26" t="str">
        <x:v>Receipts_USD</x:v>
      </x:c>
      <x:c r="G2" s="26" t="str">
        <x:v>Outstanding_USD</x:v>
      </x:c>
      <x:c r="H2" s="26" t="str">
        <x:v>Days_Past_Due</x:v>
      </x:c>
    </x:row>
    <x:row r="3">
      <x:c r="A3" t="str">
        <x:v>SI-260001</x:v>
      </x:c>
      <x:c r="B3" t="str">
        <x:v>C001</x:v>
      </x:c>
      <x:c r="C3" s="32" t="n">
        <x:v>46267</x:v>
      </x:c>
      <x:c r="D3" s="32" t="n">
        <x:v>46297</x:v>
      </x:c>
      <x:c r="E3" s="40" t="n">
        <x:v>44100</x:v>
      </x:c>
      <x:c r="F3" s="40" t="n">
        <x:f>SUMIF(TXN_Customer_Receipts!$D:$D,A3,TXN_Customer_Receipts!$E:$E)</x:f>
        <x:v>30366.35</x:v>
      </x:c>
      <x:c r="G3" s="40" t="n">
        <x:f>E3-F3</x:f>
        <x:v>13733.650000000001</x:v>
      </x:c>
      <x:c r="H3" t="n">
        <x:f>MAX(0,SETUP!$B$6-D3)</x:f>
        <x:v>0</x:v>
      </x:c>
    </x:row>
    <x:row r="4">
      <x:c r="A4" t="str">
        <x:v>SI-260002</x:v>
      </x:c>
      <x:c r="B4" t="str">
        <x:v>C002</x:v>
      </x:c>
      <x:c r="C4" s="32" t="n">
        <x:v>46270</x:v>
      </x:c>
      <x:c r="D4" s="32" t="n">
        <x:v>46300</x:v>
      </x:c>
      <x:c r="E4" s="40" t="n">
        <x:v>40425</x:v>
      </x:c>
      <x:c r="F4" s="40" t="n">
        <x:f>SUMIF(TXN_Customer_Receipts!$D:$D,A4,TXN_Customer_Receipts!$E:$E)</x:f>
        <x:v>45774.58</x:v>
      </x:c>
      <x:c r="G4" s="40" t="n">
        <x:f>E4-F4</x:f>
        <x:v>-5349.580000000002</x:v>
      </x:c>
      <x:c r="H4" t="n">
        <x:f>MAX(0,SETUP!$B$6-D4)</x:f>
        <x:v>0</x:v>
      </x:c>
    </x:row>
    <x:row r="5">
      <x:c r="A5" t="str">
        <x:v>SI-260003</x:v>
      </x:c>
      <x:c r="B5" t="str">
        <x:v>C003</x:v>
      </x:c>
      <x:c r="C5" s="32" t="n">
        <x:v>46274</x:v>
      </x:c>
      <x:c r="D5" s="32" t="n">
        <x:v>46319</x:v>
      </x:c>
      <x:c r="E5" s="40" t="n">
        <x:v>45360</x:v>
      </x:c>
      <x:c r="F5" s="40" t="n">
        <x:f>SUMIF(TXN_Customer_Receipts!$D:$D,A5,TXN_Customer_Receipts!$E:$E)</x:f>
        <x:v>10754.52</x:v>
      </x:c>
      <x:c r="G5" s="40" t="n">
        <x:f>E5-F5</x:f>
        <x:v>34605.479999999996</x:v>
      </x:c>
      <x:c r="H5" t="n">
        <x:f>MAX(0,SETUP!$B$6-D5)</x:f>
        <x:v>0</x:v>
      </x:c>
    </x:row>
    <x:row r="6">
      <x:c r="C6" s="32"/>
      <x:c r="D6" s="32"/>
      <x:c r="E6" s="40"/>
      <x:c r="F6" s="40"/>
      <x:c r="G6" s="40"/>
    </x:row>
    <x:row r="7">
      <x:c r="C7" s="32"/>
      <x:c r="D7" s="32"/>
      <x:c r="E7" s="40"/>
      <x:c r="F7" s="40"/>
      <x:c r="G7" s="40"/>
    </x:row>
    <x:row r="8">
      <x:c r="C8" s="32"/>
      <x:c r="D8" s="32"/>
      <x:c r="E8" s="40"/>
      <x:c r="F8" s="40"/>
      <x:c r="G8" s="40"/>
    </x:row>
    <x:row r="9">
      <x:c r="C9" s="32"/>
      <x:c r="D9" s="32"/>
      <x:c r="E9" s="40"/>
      <x:c r="F9" s="40"/>
      <x:c r="G9" s="40"/>
    </x:row>
    <x:row r="10">
      <x:c r="C10" s="32"/>
      <x:c r="D10" s="32"/>
      <x:c r="E10" s="40"/>
      <x:c r="F10" s="40"/>
      <x:c r="G10" s="40"/>
    </x:row>
    <x:row r="11">
      <x:c r="C11" s="32"/>
      <x:c r="D11" s="32"/>
      <x:c r="E11" s="40"/>
      <x:c r="F11" s="40"/>
      <x:c r="G11" s="40"/>
    </x:row>
    <x:row r="12">
      <x:c r="C12" s="32"/>
      <x:c r="D12" s="32"/>
      <x:c r="E12" s="40"/>
      <x:c r="F12" s="40"/>
      <x:c r="G12" s="40"/>
    </x:row>
    <x:row r="13">
      <x:c r="C13" s="32"/>
      <x:c r="D13" s="32"/>
      <x:c r="E13" s="40"/>
      <x:c r="F13" s="40"/>
      <x:c r="G13" s="40"/>
    </x:row>
    <x:row r="14">
      <x:c r="C14" s="32"/>
      <x:c r="D14" s="32"/>
      <x:c r="E14" s="40"/>
      <x:c r="F14" s="40"/>
      <x:c r="G14" s="40"/>
    </x:row>
    <x:row r="15">
      <x:c r="C15" s="32"/>
      <x:c r="D15" s="32"/>
      <x:c r="E15" s="40"/>
      <x:c r="F15" s="40"/>
      <x:c r="G15" s="40"/>
    </x:row>
    <x:row r="16">
      <x:c r="C16" s="32"/>
      <x:c r="D16" s="32"/>
      <x:c r="E16" s="40"/>
      <x:c r="F16" s="40"/>
      <x:c r="G16" s="40"/>
    </x:row>
    <x:row r="17">
      <x:c r="C17" s="32"/>
      <x:c r="D17" s="32"/>
      <x:c r="E17" s="40"/>
      <x:c r="F17" s="40"/>
      <x:c r="G17" s="40"/>
    </x:row>
    <x:row r="18">
      <x:c r="C18" s="32"/>
      <x:c r="D18" s="32"/>
      <x:c r="E18" s="40"/>
      <x:c r="F18" s="40"/>
      <x:c r="G18" s="40"/>
    </x:row>
    <x:row r="19">
      <x:c r="C19" s="32"/>
      <x:c r="D19" s="32"/>
      <x:c r="E19" s="40"/>
      <x:c r="F19" s="40"/>
      <x:c r="G19" s="40"/>
    </x:row>
    <x:row r="20">
      <x:c r="C20" s="32"/>
      <x:c r="D20" s="32"/>
      <x:c r="E20" s="40"/>
      <x:c r="F20" s="40"/>
      <x:c r="G20" s="40"/>
    </x:row>
  </x:sheetData>
  <x:mergeCells>
    <x:mergeCell ref="A1:H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Accounts Payable Aging</x:v>
      </x:c>
    </x:row>
    <x:row r="2">
      <x:c r="A2" s="26" t="str">
        <x:v>Bill_ID</x:v>
      </x:c>
      <x:c r="B2" s="26" t="str">
        <x:v>Vendor_ID</x:v>
      </x:c>
      <x:c r="C2" s="26" t="str">
        <x:v>Bill_Date</x:v>
      </x:c>
      <x:c r="D2" s="26" t="str">
        <x:v>Due_Date</x:v>
      </x:c>
      <x:c r="E2" s="26" t="str">
        <x:v>Bill_Total_USD</x:v>
      </x:c>
      <x:c r="F2" s="26" t="str">
        <x:v>Payments_USD</x:v>
      </x:c>
      <x:c r="G2" s="26" t="str">
        <x:v>Outstanding_USD</x:v>
      </x:c>
      <x:c r="H2" s="26" t="str">
        <x:v>Days_Past_Due</x:v>
      </x:c>
    </x:row>
    <x:row r="3">
      <x:c r="A3" t="str">
        <x:v>PI-260001</x:v>
      </x:c>
      <x:c r="B3" t="str">
        <x:v>V001</x:v>
      </x:c>
      <x:c r="C3" s="32" t="n">
        <x:v>46268</x:v>
      </x:c>
      <x:c r="D3" s="32" t="n">
        <x:v>46298</x:v>
      </x:c>
      <x:c r="E3" s="40" t="n">
        <x:v>34440</x:v>
      </x:c>
      <x:c r="F3" s="40" t="n">
        <x:f>SUMIF(TXN_Vendor_Payments!$D:$D,A3,TXN_Vendor_Payments!$E:$E)</x:f>
        <x:v>0</x:v>
      </x:c>
      <x:c r="G3" s="40" t="n">
        <x:f>E3-F3</x:f>
        <x:v>34440</x:v>
      </x:c>
      <x:c r="H3" t="n">
        <x:f>MAX(0,SETUP!$B$6-D3)</x:f>
        <x:v>0</x:v>
      </x:c>
    </x:row>
    <x:row r="4">
      <x:c r="A4" t="str">
        <x:v>PI-260002</x:v>
      </x:c>
      <x:c r="B4" t="str">
        <x:v>V002</x:v>
      </x:c>
      <x:c r="C4" s="32" t="n">
        <x:v>46271</x:v>
      </x:c>
      <x:c r="D4" s="32" t="n">
        <x:v>46301</x:v>
      </x:c>
      <x:c r="E4" s="40" t="n">
        <x:v>9975</x:v>
      </x:c>
      <x:c r="F4" s="40" t="n">
        <x:f>SUMIF(TXN_Vendor_Payments!$D:$D,A4,TXN_Vendor_Payments!$E:$E)</x:f>
        <x:v>11244.06</x:v>
      </x:c>
      <x:c r="G4" s="40" t="n">
        <x:f>E4-F4</x:f>
        <x:v>-1269.0599999999995</x:v>
      </x:c>
      <x:c r="H4" t="n">
        <x:f>MAX(0,SETUP!$B$6-D4)</x:f>
        <x:v>0</x:v>
      </x:c>
    </x:row>
    <x:row r="5">
      <x:c r="A5" t="str">
        <x:v>PI-260003</x:v>
      </x:c>
      <x:c r="B5" t="str">
        <x:v>V003</x:v>
      </x:c>
      <x:c r="C5" s="32" t="n">
        <x:v>46273</x:v>
      </x:c>
      <x:c r="D5" s="32" t="n">
        <x:v>46288</x:v>
      </x:c>
      <x:c r="E5" s="40" t="n">
        <x:v>7560</x:v>
      </x:c>
      <x:c r="F5" s="40" t="n">
        <x:f>SUMIF(TXN_Vendor_Payments!$D:$D,A5,TXN_Vendor_Payments!$E:$E)</x:f>
        <x:v>32592.79</x:v>
      </x:c>
      <x:c r="G5" s="40" t="n">
        <x:f>E5-F5</x:f>
        <x:v>-25032.79</x:v>
      </x:c>
      <x:c r="H5" t="n">
        <x:f>MAX(0,SETUP!$B$6-D5)</x:f>
        <x:v>7</x:v>
      </x:c>
    </x:row>
    <x:row r="6">
      <x:c r="A6" t="str">
        <x:v>PI-260004</x:v>
      </x:c>
      <x:c r="B6" t="str">
        <x:v>V004</x:v>
      </x:c>
      <x:c r="C6" s="32" t="n">
        <x:v>46275</x:v>
      </x:c>
      <x:c r="D6" s="32" t="n">
        <x:v>46305</x:v>
      </x:c>
      <x:c r="E6" s="40" t="n">
        <x:v>18900</x:v>
      </x:c>
      <x:c r="F6" s="40" t="n">
        <x:f>SUMIF(TXN_Vendor_Payments!$D:$D,A6,TXN_Vendor_Payments!$E:$E)</x:f>
        <x:v>26373.12</x:v>
      </x:c>
      <x:c r="G6" s="40" t="n">
        <x:f>E6-F6</x:f>
        <x:v>-7473.119999999999</x:v>
      </x:c>
      <x:c r="H6" t="n">
        <x:f>MAX(0,SETUP!$B$6-D6)</x:f>
        <x:v>0</x:v>
      </x:c>
    </x:row>
    <x:row r="7">
      <x:c r="C7" s="32"/>
      <x:c r="D7" s="32"/>
      <x:c r="E7" s="40"/>
      <x:c r="F7" s="40"/>
      <x:c r="G7" s="40"/>
    </x:row>
    <x:row r="8">
      <x:c r="C8" s="32"/>
      <x:c r="D8" s="32"/>
      <x:c r="E8" s="40"/>
      <x:c r="F8" s="40"/>
      <x:c r="G8" s="40"/>
    </x:row>
    <x:row r="9">
      <x:c r="C9" s="32"/>
      <x:c r="D9" s="32"/>
      <x:c r="E9" s="40"/>
      <x:c r="F9" s="40"/>
      <x:c r="G9" s="40"/>
    </x:row>
    <x:row r="10">
      <x:c r="C10" s="32"/>
      <x:c r="D10" s="32"/>
      <x:c r="E10" s="40"/>
      <x:c r="F10" s="40"/>
      <x:c r="G10" s="40"/>
    </x:row>
    <x:row r="11">
      <x:c r="C11" s="32"/>
      <x:c r="D11" s="32"/>
      <x:c r="E11" s="40"/>
      <x:c r="F11" s="40"/>
      <x:c r="G11" s="40"/>
    </x:row>
    <x:row r="12">
      <x:c r="C12" s="32"/>
      <x:c r="D12" s="32"/>
      <x:c r="E12" s="40"/>
      <x:c r="F12" s="40"/>
      <x:c r="G12" s="40"/>
    </x:row>
    <x:row r="13">
      <x:c r="C13" s="32"/>
      <x:c r="D13" s="32"/>
      <x:c r="E13" s="40"/>
      <x:c r="F13" s="40"/>
      <x:c r="G13" s="40"/>
    </x:row>
    <x:row r="14">
      <x:c r="C14" s="32"/>
      <x:c r="D14" s="32"/>
      <x:c r="E14" s="40"/>
      <x:c r="F14" s="40"/>
      <x:c r="G14" s="40"/>
    </x:row>
    <x:row r="15">
      <x:c r="C15" s="32"/>
      <x:c r="D15" s="32"/>
      <x:c r="E15" s="40"/>
      <x:c r="F15" s="40"/>
      <x:c r="G15" s="40"/>
    </x:row>
    <x:row r="16">
      <x:c r="C16" s="32"/>
      <x:c r="D16" s="32"/>
      <x:c r="E16" s="40"/>
      <x:c r="F16" s="40"/>
      <x:c r="G16" s="40"/>
    </x:row>
    <x:row r="17">
      <x:c r="C17" s="32"/>
      <x:c r="D17" s="32"/>
      <x:c r="E17" s="40"/>
      <x:c r="F17" s="40"/>
      <x:c r="G17" s="40"/>
    </x:row>
    <x:row r="18">
      <x:c r="C18" s="32"/>
      <x:c r="D18" s="32"/>
      <x:c r="E18" s="40"/>
      <x:c r="F18" s="40"/>
      <x:c r="G18" s="40"/>
    </x:row>
    <x:row r="19">
      <x:c r="C19" s="32"/>
      <x:c r="D19" s="32"/>
      <x:c r="E19" s="40"/>
      <x:c r="F19" s="40"/>
      <x:c r="G19" s="40"/>
    </x:row>
    <x:row r="20">
      <x:c r="C20" s="32"/>
      <x:c r="D20" s="32"/>
      <x:c r="E20" s="40"/>
      <x:c r="F20" s="40"/>
      <x:c r="G20" s="40"/>
    </x:row>
  </x:sheetData>
  <x:mergeCells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44" t="str">
        <x:v>Inventory Summary</x:v>
      </x:c>
    </x:row>
    <x:row r="2">
      <x:c r="A2" s="26" t="str">
        <x:v>Product_ID</x:v>
      </x:c>
      <x:c r="B2" s="26" t="str">
        <x:v>Product_Name</x:v>
      </x:c>
      <x:c r="C2" s="26" t="str">
        <x:v>Purchased_Qty</x:v>
      </x:c>
      <x:c r="D2" s="26" t="str">
        <x:v>Sold_Qty</x:v>
      </x:c>
      <x:c r="E2" s="26" t="str">
        <x:v>Net_Qty</x:v>
      </x:c>
      <x:c r="F2" s="26" t="str">
        <x:v>Standard_Cost_USD</x:v>
      </x:c>
      <x:c r="G2" s="26" t="str">
        <x:v>Inventory_Value_USD</x:v>
      </x:c>
      <x:c r="H2" s="26" t="str">
        <x:v>Sales_Revenue_USD</x:v>
      </x:c>
    </x:row>
    <x:row r="3">
      <x:c r="A3" t="str">
        <x:v>P001</x:v>
      </x:c>
      <x:c r="B3" t="str">
        <x:v>Core Product</x:v>
      </x:c>
      <x:c r="C3" t="n">
        <x:f>SUMIF(TXN_Purchase_Invoices!$D:$D,A3,TXN_Purchase_Invoices!$E:$E)</x:f>
        <x:v>8731</x:v>
      </x:c>
      <x:c r="D3" t="n">
        <x:f>SUMIF(TXN_Sales_Invoices!$D:$D,A3,TXN_Sales_Invoices!$E:$E)</x:f>
        <x:v>17994</x:v>
      </x:c>
      <x:c r="E3" t="n">
        <x:f>C3-D3</x:f>
        <x:v>-9263</x:v>
      </x:c>
      <x:c r="F3" s="40" t="n">
        <x:v>21</x:v>
      </x:c>
      <x:c r="G3" s="40" t="n">
        <x:f>E3*F3</x:f>
        <x:v>-194523</x:v>
      </x:c>
      <x:c r="H3" s="40" t="n">
        <x:f>SUMPRODUCT((TXN_Sales_Invoices!$D$3:$D$100=A3)*TXN_Sales_Invoices!$E$3:$E$100*TXN_Sales_Invoices!$F$3:$F$100)</x:f>
        <x:v>325946.04999999993</x:v>
      </x:c>
    </x:row>
    <x:row r="4">
      <x:c r="A4" t="str">
        <x:v>P002</x:v>
      </x:c>
      <x:c r="B4" t="str">
        <x:v>Premium Product</x:v>
      </x:c>
      <x:c r="C4" t="n">
        <x:f>SUMIF(TXN_Purchase_Invoices!$D:$D,A4,TXN_Purchase_Invoices!$E:$E)</x:f>
        <x:v>13306</x:v>
      </x:c>
      <x:c r="D4" t="n">
        <x:f>SUMIF(TXN_Sales_Invoices!$D:$D,A4,TXN_Sales_Invoices!$E:$E)</x:f>
        <x:v>13339</x:v>
      </x:c>
      <x:c r="E4" t="n">
        <x:f>C4-D4</x:f>
        <x:v>-33</x:v>
      </x:c>
      <x:c r="F4" s="40" t="n">
        <x:v>31</x:v>
      </x:c>
      <x:c r="G4" s="40" t="n">
        <x:f>E4*F4</x:f>
        <x:v>-1023</x:v>
      </x:c>
      <x:c r="H4" s="40" t="n">
        <x:f>SUMPRODUCT((TXN_Sales_Invoices!$D$3:$D$100=A4)*TXN_Sales_Invoices!$E$3:$E$100*TXN_Sales_Invoices!$F$3:$F$100)</x:f>
        <x:v>345908.43999999994</x:v>
      </x:c>
    </x:row>
    <x:row r="5">
      <x:c r="A5" t="str">
        <x:v>P003</x:v>
      </x:c>
      <x:c r="B5" t="str">
        <x:v>Value Product</x:v>
      </x:c>
      <x:c r="C5" t="n">
        <x:f>SUMIF(TXN_Purchase_Invoices!$D:$D,A5,TXN_Purchase_Invoices!$E:$E)</x:f>
        <x:v>6994</x:v>
      </x:c>
      <x:c r="D5" t="n">
        <x:f>SUMIF(TXN_Sales_Invoices!$D:$D,A5,TXN_Sales_Invoices!$E:$E)</x:f>
        <x:v>5491</x:v>
      </x:c>
      <x:c r="E5" t="n">
        <x:f>C5-D5</x:f>
        <x:v>1503</x:v>
      </x:c>
      <x:c r="F5" s="40" t="n">
        <x:v>16</x:v>
      </x:c>
      <x:c r="G5" s="40" t="n">
        <x:f>E5*F5</x:f>
        <x:v>24048</x:v>
      </x:c>
      <x:c r="H5" s="40" t="n">
        <x:f>SUMPRODUCT((TXN_Sales_Invoices!$D$3:$D$100=A5)*TXN_Sales_Invoices!$E$3:$E$100*TXN_Sales_Invoices!$F$3:$F$100)</x:f>
        <x:v>102009.76</x:v>
      </x:c>
    </x:row>
    <x:row r="6">
      <x:c r="F6" s="40"/>
      <x:c r="G6" s="40"/>
      <x:c r="H6" s="40"/>
    </x:row>
    <x:row r="7">
      <x:c r="F7" s="40"/>
      <x:c r="G7" s="40"/>
      <x:c r="H7" s="40"/>
    </x:row>
    <x:row r="8">
      <x:c r="F8" s="40"/>
      <x:c r="G8" s="40"/>
      <x:c r="H8" s="40"/>
    </x:row>
    <x:row r="9">
      <x:c r="F9" s="40"/>
      <x:c r="G9" s="40"/>
      <x:c r="H9" s="40"/>
    </x:row>
    <x:row r="10">
      <x:c r="F10" s="40"/>
      <x:c r="G10" s="40"/>
      <x:c r="H10" s="40"/>
    </x:row>
  </x:sheetData>
  <x:mergeCells>
    <x:mergeCell ref="A1:H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4" max="4" width="22" hidden="0" customWidth="1"/>
    <x:col min="5" max="5" width="22" hidden="0" customWidth="1"/>
  </x:cols>
  <x:sheetData>
    <x:row r="1">
      <x:c r="A1" s="3" t="str">
        <x:v>ERP Finance Management Dashboard</x:v>
      </x:c>
    </x:row>
    <x:row r="3">
      <x:c r="A3" s="26" t="str">
        <x:v>KPI</x:v>
      </x:c>
      <x:c r="B3" s="26" t="str">
        <x:v>Value</x:v>
      </x:c>
      <x:c r="D3" s="26" t="str">
        <x:v>System Controls</x:v>
      </x:c>
    </x:row>
    <x:row r="4">
      <x:c r="A4" s="7" t="str">
        <x:v>Revenue</x:v>
      </x:c>
      <x:c r="B4" s="40" t="n">
        <x:f>'P&amp;L'!C3</x:f>
        <x:v>123700</x:v>
      </x:c>
      <x:c r="D4" s="7" t="str">
        <x:v>GL Debits</x:v>
      </x:c>
      <x:c r="E4" s="40" t="n">
        <x:f>SUM(GL_Journal!F:F)</x:f>
        <x:v>600520</x:v>
      </x:c>
    </x:row>
    <x:row r="5">
      <x:c r="A5" s="7" t="str">
        <x:v>Gross Profit</x:v>
      </x:c>
      <x:c r="B5" s="40" t="n">
        <x:f>'P&amp;L'!C5</x:f>
        <x:v>48000</x:v>
      </x:c>
      <x:c r="D5" s="7" t="str">
        <x:v>GL Credits</x:v>
      </x:c>
      <x:c r="E5" s="40" t="n">
        <x:f>SUM(GL_Journal!G:G)</x:f>
        <x:v>600520</x:v>
      </x:c>
    </x:row>
    <x:row r="6">
      <x:c r="A6" s="7" t="str">
        <x:v>Operating Profit</x:v>
      </x:c>
      <x:c r="B6" s="40" t="n">
        <x:f>'P&amp;L'!C14</x:f>
        <x:v>-33200</x:v>
      </x:c>
      <x:c r="D6" s="7" t="str">
        <x:v>GL Difference</x:v>
      </x:c>
      <x:c r="E6" s="40" t="n">
        <x:f>E4-E5</x:f>
        <x:v>0</x:v>
      </x:c>
    </x:row>
    <x:row r="7">
      <x:c r="A7" s="7" t="str">
        <x:v>Cash</x:v>
      </x:c>
      <x:c r="B7" s="40" t="n">
        <x:f>'Balance_Sheet'!C3</x:f>
        <x:v>162440</x:v>
      </x:c>
      <x:c r="D7" s="7" t="str">
        <x:v>Posting Status</x:v>
      </x:c>
      <x:c r="E7" t="str">
        <x:f>IF(ABS(E6)&lt;0.01,"Balanced","Check")</x:f>
        <x:v>Balanced</x:v>
      </x:c>
    </x:row>
    <x:row r="8">
      <x:c r="A8" s="7" t="str">
        <x:v>Accounts Receivable</x:v>
      </x:c>
      <x:c r="B8" s="40" t="n">
        <x:f>'Balance_Sheet'!C4</x:f>
        <x:v>109885</x:v>
      </x:c>
    </x:row>
    <x:row r="9">
      <x:c r="A9" s="7" t="str">
        <x:v>Inventory</x:v>
      </x:c>
      <x:c r="B9" s="40" t="n">
        <x:f>'Balance_Sheet'!C5</x:f>
        <x:v>57100</x:v>
      </x:c>
    </x:row>
    <x:row r="10">
      <x:c r="A10" s="7" t="str">
        <x:v>Accounts Payable</x:v>
      </x:c>
      <x:c r="B10" s="40" t="n">
        <x:f>'Balance_Sheet'!C9</x:f>
        <x:v>105315</x:v>
      </x:c>
    </x:row>
    <x:row r="11">
      <x:c r="A11" s="7" t="str">
        <x:v>Balance Sheet Check</x:v>
      </x:c>
      <x:c r="B11" t="str">
        <x:f>'Balance_Sheet'!C16</x:f>
        <x:v>OK</x:v>
      </x:c>
    </x:row>
  </x:sheetData>
  <x:mergeCells>
    <x:mergeCell ref="A1:H1"/>
    <x:mergeCell ref="D3:H3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75" t="str">
        <x:v>Department Budget | FY2026</x:v>
      </x:c>
    </x:row>
    <x:row r="2">
      <x:c r="A2" s="76" t="str">
        <x:v>Budget_ID</x:v>
      </x:c>
      <x:c r="B2" s="76" t="str">
        <x:v>Department_ID</x:v>
      </x:c>
      <x:c r="C2" s="76" t="str">
        <x:v>Account_ID</x:v>
      </x:c>
      <x:c r="D2" s="76" t="str">
        <x:v>Month</x:v>
      </x:c>
      <x:c r="E2" s="76" t="str">
        <x:v>Budget_USD</x:v>
      </x:c>
      <x:c r="F2" s="76" t="str">
        <x:v>Owner</x:v>
      </x:c>
    </x:row>
    <x:row r="3">
      <x:c r="A3" t="str">
        <x:v>BUD-0001</x:v>
      </x:c>
      <x:c r="B3" t="str">
        <x:v>D002</x:v>
      </x:c>
      <x:c r="C3" t="str">
        <x:v>6200</x:v>
      </x:c>
      <x:c r="D3" s="77" t="n">
        <x:v>46023</x:v>
      </x:c>
      <x:c r="E3" s="40" t="n">
        <x:v>14318</x:v>
      </x:c>
      <x:c r="F3" t="str">
        <x:v>Marketing Manager</x:v>
      </x:c>
    </x:row>
    <x:row r="4">
      <x:c r="A4" t="str">
        <x:v>BUD-0002</x:v>
      </x:c>
      <x:c r="B4" t="str">
        <x:v>D002</x:v>
      </x:c>
      <x:c r="C4" t="str">
        <x:v>6200</x:v>
      </x:c>
      <x:c r="D4" s="77" t="n">
        <x:v>46054</x:v>
      </x:c>
      <x:c r="E4" s="40" t="n">
        <x:v>14447</x:v>
      </x:c>
      <x:c r="F4" t="str">
        <x:v>Marketing Manager</x:v>
      </x:c>
    </x:row>
    <x:row r="5">
      <x:c r="A5" t="str">
        <x:v>BUD-0003</x:v>
      </x:c>
      <x:c r="B5" t="str">
        <x:v>D002</x:v>
      </x:c>
      <x:c r="C5" t="str">
        <x:v>6200</x:v>
      </x:c>
      <x:c r="D5" s="77" t="n">
        <x:v>46082</x:v>
      </x:c>
      <x:c r="E5" s="40" t="n">
        <x:v>14441</x:v>
      </x:c>
      <x:c r="F5" t="str">
        <x:v>Marketing Manager</x:v>
      </x:c>
    </x:row>
    <x:row r="6">
      <x:c r="A6" t="str">
        <x:v>BUD-0004</x:v>
      </x:c>
      <x:c r="B6" t="str">
        <x:v>D002</x:v>
      </x:c>
      <x:c r="C6" t="str">
        <x:v>6200</x:v>
      </x:c>
      <x:c r="D6" s="77" t="n">
        <x:v>46113</x:v>
      </x:c>
      <x:c r="E6" s="40" t="n">
        <x:v>13631</x:v>
      </x:c>
      <x:c r="F6" t="str">
        <x:v>Marketing Manager</x:v>
      </x:c>
    </x:row>
    <x:row r="7">
      <x:c r="A7" t="str">
        <x:v>BUD-0005</x:v>
      </x:c>
      <x:c r="B7" t="str">
        <x:v>D002</x:v>
      </x:c>
      <x:c r="C7" t="str">
        <x:v>6200</x:v>
      </x:c>
      <x:c r="D7" s="77" t="n">
        <x:v>46143</x:v>
      </x:c>
      <x:c r="E7" s="40" t="n">
        <x:v>13505</x:v>
      </x:c>
      <x:c r="F7" t="str">
        <x:v>Marketing Manager</x:v>
      </x:c>
    </x:row>
    <x:row r="8">
      <x:c r="A8" t="str">
        <x:v>BUD-0006</x:v>
      </x:c>
      <x:c r="B8" t="str">
        <x:v>D002</x:v>
      </x:c>
      <x:c r="C8" t="str">
        <x:v>6200</x:v>
      </x:c>
      <x:c r="D8" s="77" t="n">
        <x:v>46174</x:v>
      </x:c>
      <x:c r="E8" s="40" t="n">
        <x:v>13576</x:v>
      </x:c>
      <x:c r="F8" t="str">
        <x:v>Marketing Manager</x:v>
      </x:c>
    </x:row>
    <x:row r="9">
      <x:c r="A9" t="str">
        <x:v>BUD-0007</x:v>
      </x:c>
      <x:c r="B9" t="str">
        <x:v>D002</x:v>
      </x:c>
      <x:c r="C9" t="str">
        <x:v>6200</x:v>
      </x:c>
      <x:c r="D9" s="77" t="n">
        <x:v>46204</x:v>
      </x:c>
      <x:c r="E9" s="40" t="n">
        <x:v>14143</x:v>
      </x:c>
      <x:c r="F9" t="str">
        <x:v>Marketing Manager</x:v>
      </x:c>
    </x:row>
    <x:row r="10">
      <x:c r="A10" t="str">
        <x:v>BUD-0008</x:v>
      </x:c>
      <x:c r="B10" t="str">
        <x:v>D002</x:v>
      </x:c>
      <x:c r="C10" t="str">
        <x:v>6200</x:v>
      </x:c>
      <x:c r="D10" s="77" t="n">
        <x:v>46235</x:v>
      </x:c>
      <x:c r="E10" s="40" t="n">
        <x:v>14364</x:v>
      </x:c>
      <x:c r="F10" t="str">
        <x:v>Marketing Manager</x:v>
      </x:c>
    </x:row>
    <x:row r="11">
      <x:c r="A11" t="str">
        <x:v>BUD-0009</x:v>
      </x:c>
      <x:c r="B11" t="str">
        <x:v>D002</x:v>
      </x:c>
      <x:c r="C11" t="str">
        <x:v>6200</x:v>
      </x:c>
      <x:c r="D11" s="77" t="n">
        <x:v>46266</x:v>
      </x:c>
      <x:c r="E11" s="40" t="n">
        <x:v>14218</x:v>
      </x:c>
      <x:c r="F11" t="str">
        <x:v>Marketing Manager</x:v>
      </x:c>
    </x:row>
    <x:row r="12">
      <x:c r="A12" t="str">
        <x:v>BUD-0010</x:v>
      </x:c>
      <x:c r="B12" t="str">
        <x:v>D002</x:v>
      </x:c>
      <x:c r="C12" t="str">
        <x:v>6200</x:v>
      </x:c>
      <x:c r="D12" s="77" t="n">
        <x:v>46296</x:v>
      </x:c>
      <x:c r="E12" s="40" t="n">
        <x:v>13548</x:v>
      </x:c>
      <x:c r="F12" t="str">
        <x:v>Marketing Manager</x:v>
      </x:c>
    </x:row>
    <x:row r="13">
      <x:c r="A13" t="str">
        <x:v>BUD-0011</x:v>
      </x:c>
      <x:c r="B13" t="str">
        <x:v>D002</x:v>
      </x:c>
      <x:c r="C13" t="str">
        <x:v>6200</x:v>
      </x:c>
      <x:c r="D13" s="77" t="n">
        <x:v>46327</x:v>
      </x:c>
      <x:c r="E13" s="40" t="n">
        <x:v>14382</x:v>
      </x:c>
      <x:c r="F13" t="str">
        <x:v>Marketing Manager</x:v>
      </x:c>
    </x:row>
    <x:row r="14">
      <x:c r="A14" t="str">
        <x:v>BUD-0012</x:v>
      </x:c>
      <x:c r="B14" t="str">
        <x:v>D002</x:v>
      </x:c>
      <x:c r="C14" t="str">
        <x:v>6200</x:v>
      </x:c>
      <x:c r="D14" s="77" t="n">
        <x:v>46357</x:v>
      </x:c>
      <x:c r="E14" s="40" t="n">
        <x:v>13992</x:v>
      </x:c>
      <x:c r="F14" t="str">
        <x:v>Marketing Manager</x:v>
      </x:c>
    </x:row>
    <x:row r="15">
      <x:c r="A15" t="str">
        <x:v>BUD-0013</x:v>
      </x:c>
      <x:c r="B15" t="str">
        <x:v>D003</x:v>
      </x:c>
      <x:c r="C15" t="str">
        <x:v>6300</x:v>
      </x:c>
      <x:c r="D15" s="77" t="n">
        <x:v>46023</x:v>
      </x:c>
      <x:c r="E15" s="40" t="n">
        <x:v>18458</x:v>
      </x:c>
      <x:c r="F15" t="str">
        <x:v>Operations Manager</x:v>
      </x:c>
    </x:row>
    <x:row r="16">
      <x:c r="A16" t="str">
        <x:v>BUD-0014</x:v>
      </x:c>
      <x:c r="B16" t="str">
        <x:v>D003</x:v>
      </x:c>
      <x:c r="C16" t="str">
        <x:v>6300</x:v>
      </x:c>
      <x:c r="D16" s="77" t="n">
        <x:v>46054</x:v>
      </x:c>
      <x:c r="E16" s="40" t="n">
        <x:v>18468</x:v>
      </x:c>
      <x:c r="F16" t="str">
        <x:v>Operations Manager</x:v>
      </x:c>
    </x:row>
    <x:row r="17">
      <x:c r="A17" t="str">
        <x:v>BUD-0015</x:v>
      </x:c>
      <x:c r="B17" t="str">
        <x:v>D003</x:v>
      </x:c>
      <x:c r="C17" t="str">
        <x:v>6300</x:v>
      </x:c>
      <x:c r="D17" s="77" t="n">
        <x:v>46082</x:v>
      </x:c>
      <x:c r="E17" s="40" t="n">
        <x:v>17908</x:v>
      </x:c>
      <x:c r="F17" t="str">
        <x:v>Operations Manager</x:v>
      </x:c>
    </x:row>
    <x:row r="18">
      <x:c r="A18" t="str">
        <x:v>BUD-0016</x:v>
      </x:c>
      <x:c r="B18" t="str">
        <x:v>D003</x:v>
      </x:c>
      <x:c r="C18" t="str">
        <x:v>6300</x:v>
      </x:c>
      <x:c r="D18" s="77" t="n">
        <x:v>46113</x:v>
      </x:c>
      <x:c r="E18" s="40" t="n">
        <x:v>18763</x:v>
      </x:c>
      <x:c r="F18" t="str">
        <x:v>Operations Manager</x:v>
      </x:c>
    </x:row>
    <x:row r="19">
      <x:c r="A19" t="str">
        <x:v>BUD-0017</x:v>
      </x:c>
      <x:c r="B19" t="str">
        <x:v>D003</x:v>
      </x:c>
      <x:c r="C19" t="str">
        <x:v>6300</x:v>
      </x:c>
      <x:c r="D19" s="77" t="n">
        <x:v>46143</x:v>
      </x:c>
      <x:c r="E19" s="40" t="n">
        <x:v>18116</x:v>
      </x:c>
      <x:c r="F19" t="str">
        <x:v>Operations Manager</x:v>
      </x:c>
    </x:row>
    <x:row r="20">
      <x:c r="A20" t="str">
        <x:v>BUD-0018</x:v>
      </x:c>
      <x:c r="B20" t="str">
        <x:v>D003</x:v>
      </x:c>
      <x:c r="C20" t="str">
        <x:v>6300</x:v>
      </x:c>
      <x:c r="D20" s="77" t="n">
        <x:v>46174</x:v>
      </x:c>
      <x:c r="E20" s="40" t="n">
        <x:v>18244</x:v>
      </x:c>
      <x:c r="F20" t="str">
        <x:v>Operations Manager</x:v>
      </x:c>
    </x:row>
    <x:row r="21">
      <x:c r="A21" t="str">
        <x:v>BUD-0019</x:v>
      </x:c>
      <x:c r="B21" t="str">
        <x:v>D003</x:v>
      </x:c>
      <x:c r="C21" t="str">
        <x:v>6300</x:v>
      </x:c>
      <x:c r="D21" s="77" t="n">
        <x:v>46204</x:v>
      </x:c>
      <x:c r="E21" s="40" t="n">
        <x:v>18224</x:v>
      </x:c>
      <x:c r="F21" t="str">
        <x:v>Operations Manager</x:v>
      </x:c>
    </x:row>
    <x:row r="22">
      <x:c r="A22" t="str">
        <x:v>BUD-0020</x:v>
      </x:c>
      <x:c r="B22" t="str">
        <x:v>D003</x:v>
      </x:c>
      <x:c r="C22" t="str">
        <x:v>6300</x:v>
      </x:c>
      <x:c r="D22" s="77" t="n">
        <x:v>46235</x:v>
      </x:c>
      <x:c r="E22" s="40" t="n">
        <x:v>18656</x:v>
      </x:c>
      <x:c r="F22" t="str">
        <x:v>Operations Manager</x:v>
      </x:c>
    </x:row>
    <x:row r="23">
      <x:c r="A23" t="str">
        <x:v>BUD-0021</x:v>
      </x:c>
      <x:c r="B23" t="str">
        <x:v>D003</x:v>
      </x:c>
      <x:c r="C23" t="str">
        <x:v>6300</x:v>
      </x:c>
      <x:c r="D23" s="77" t="n">
        <x:v>46266</x:v>
      </x:c>
      <x:c r="E23" s="40" t="n">
        <x:v>18229</x:v>
      </x:c>
      <x:c r="F23" t="str">
        <x:v>Operations Manager</x:v>
      </x:c>
    </x:row>
    <x:row r="24">
      <x:c r="A24" t="str">
        <x:v>BUD-0022</x:v>
      </x:c>
      <x:c r="B24" t="str">
        <x:v>D003</x:v>
      </x:c>
      <x:c r="C24" t="str">
        <x:v>6300</x:v>
      </x:c>
      <x:c r="D24" s="77" t="n">
        <x:v>46296</x:v>
      </x:c>
      <x:c r="E24" s="40" t="n">
        <x:v>17372</x:v>
      </x:c>
      <x:c r="F24" t="str">
        <x:v>Operations Manager</x:v>
      </x:c>
    </x:row>
    <x:row r="25">
      <x:c r="A25" t="str">
        <x:v>BUD-0023</x:v>
      </x:c>
      <x:c r="B25" t="str">
        <x:v>D003</x:v>
      </x:c>
      <x:c r="C25" t="str">
        <x:v>6300</x:v>
      </x:c>
      <x:c r="D25" s="77" t="n">
        <x:v>46327</x:v>
      </x:c>
      <x:c r="E25" s="40" t="n">
        <x:v>17223</x:v>
      </x:c>
      <x:c r="F25" t="str">
        <x:v>Operations Manager</x:v>
      </x:c>
    </x:row>
    <x:row r="26">
      <x:c r="A26" t="str">
        <x:v>BUD-0024</x:v>
      </x:c>
      <x:c r="B26" t="str">
        <x:v>D003</x:v>
      </x:c>
      <x:c r="C26" t="str">
        <x:v>6300</x:v>
      </x:c>
      <x:c r="D26" s="77" t="n">
        <x:v>46357</x:v>
      </x:c>
      <x:c r="E26" s="40" t="n">
        <x:v>17896</x:v>
      </x:c>
      <x:c r="F26" t="str">
        <x:v>Operations Manager</x:v>
      </x:c>
    </x:row>
    <x:row r="27">
      <x:c r="A27" t="str">
        <x:v>BUD-0025</x:v>
      </x:c>
      <x:c r="B27" t="str">
        <x:v>D003</x:v>
      </x:c>
      <x:c r="C27" t="str">
        <x:v>6500</x:v>
      </x:c>
      <x:c r="D27" s="77" t="n">
        <x:v>46023</x:v>
      </x:c>
      <x:c r="E27" s="40" t="n">
        <x:v>12744</x:v>
      </x:c>
      <x:c r="F27" t="str">
        <x:v>Operations Manager</x:v>
      </x:c>
    </x:row>
    <x:row r="28">
      <x:c r="A28" t="str">
        <x:v>BUD-0026</x:v>
      </x:c>
      <x:c r="B28" t="str">
        <x:v>D003</x:v>
      </x:c>
      <x:c r="C28" t="str">
        <x:v>6500</x:v>
      </x:c>
      <x:c r="D28" s="77" t="n">
        <x:v>46054</x:v>
      </x:c>
      <x:c r="E28" s="40" t="n">
        <x:v>12707</x:v>
      </x:c>
      <x:c r="F28" t="str">
        <x:v>Operations Manager</x:v>
      </x:c>
    </x:row>
    <x:row r="29">
      <x:c r="A29" t="str">
        <x:v>BUD-0027</x:v>
      </x:c>
      <x:c r="B29" t="str">
        <x:v>D003</x:v>
      </x:c>
      <x:c r="C29" t="str">
        <x:v>6500</x:v>
      </x:c>
      <x:c r="D29" s="77" t="n">
        <x:v>46082</x:v>
      </x:c>
      <x:c r="E29" s="40" t="n">
        <x:v>12423</x:v>
      </x:c>
      <x:c r="F29" t="str">
        <x:v>Operations Manager</x:v>
      </x:c>
    </x:row>
    <x:row r="30">
      <x:c r="A30" t="str">
        <x:v>BUD-0028</x:v>
      </x:c>
      <x:c r="B30" t="str">
        <x:v>D003</x:v>
      </x:c>
      <x:c r="C30" t="str">
        <x:v>6500</x:v>
      </x:c>
      <x:c r="D30" s="77" t="n">
        <x:v>46113</x:v>
      </x:c>
      <x:c r="E30" s="40" t="n">
        <x:v>13010</x:v>
      </x:c>
      <x:c r="F30" t="str">
        <x:v>Operations Manager</x:v>
      </x:c>
    </x:row>
    <x:row r="31">
      <x:c r="A31" t="str">
        <x:v>BUD-0029</x:v>
      </x:c>
      <x:c r="B31" t="str">
        <x:v>D003</x:v>
      </x:c>
      <x:c r="C31" t="str">
        <x:v>6500</x:v>
      </x:c>
      <x:c r="D31" s="77" t="n">
        <x:v>46143</x:v>
      </x:c>
      <x:c r="E31" s="40" t="n">
        <x:v>12754</x:v>
      </x:c>
      <x:c r="F31" t="str">
        <x:v>Operations Manager</x:v>
      </x:c>
    </x:row>
    <x:row r="32">
      <x:c r="A32" t="str">
        <x:v>BUD-0030</x:v>
      </x:c>
      <x:c r="B32" t="str">
        <x:v>D003</x:v>
      </x:c>
      <x:c r="C32" t="str">
        <x:v>6500</x:v>
      </x:c>
      <x:c r="D32" s="77" t="n">
        <x:v>46174</x:v>
      </x:c>
      <x:c r="E32" s="40" t="n">
        <x:v>12937</x:v>
      </x:c>
      <x:c r="F32" t="str">
        <x:v>Operations Manager</x:v>
      </x:c>
    </x:row>
    <x:row r="33">
      <x:c r="A33" t="str">
        <x:v>BUD-0031</x:v>
      </x:c>
      <x:c r="B33" t="str">
        <x:v>D003</x:v>
      </x:c>
      <x:c r="C33" t="str">
        <x:v>6500</x:v>
      </x:c>
      <x:c r="D33" s="77" t="n">
        <x:v>46204</x:v>
      </x:c>
      <x:c r="E33" s="40" t="n">
        <x:v>12424</x:v>
      </x:c>
      <x:c r="F33" t="str">
        <x:v>Operations Manager</x:v>
      </x:c>
    </x:row>
    <x:row r="34">
      <x:c r="A34" t="str">
        <x:v>BUD-0032</x:v>
      </x:c>
      <x:c r="B34" t="str">
        <x:v>D003</x:v>
      </x:c>
      <x:c r="C34" t="str">
        <x:v>6500</x:v>
      </x:c>
      <x:c r="D34" s="77" t="n">
        <x:v>46235</x:v>
      </x:c>
      <x:c r="E34" s="40" t="n">
        <x:v>13431</x:v>
      </x:c>
      <x:c r="F34" t="str">
        <x:v>Operations Manager</x:v>
      </x:c>
    </x:row>
    <x:row r="35">
      <x:c r="A35" t="str">
        <x:v>BUD-0033</x:v>
      </x:c>
      <x:c r="B35" t="str">
        <x:v>D003</x:v>
      </x:c>
      <x:c r="C35" t="str">
        <x:v>6500</x:v>
      </x:c>
      <x:c r="D35" s="77" t="n">
        <x:v>46266</x:v>
      </x:c>
      <x:c r="E35" s="40" t="n">
        <x:v>12450</x:v>
      </x:c>
      <x:c r="F35" t="str">
        <x:v>Operations Manager</x:v>
      </x:c>
    </x:row>
    <x:row r="36">
      <x:c r="A36" t="str">
        <x:v>BUD-0034</x:v>
      </x:c>
      <x:c r="B36" t="str">
        <x:v>D003</x:v>
      </x:c>
      <x:c r="C36" t="str">
        <x:v>6500</x:v>
      </x:c>
      <x:c r="D36" s="77" t="n">
        <x:v>46296</x:v>
      </x:c>
      <x:c r="E36" s="40" t="n">
        <x:v>13474</x:v>
      </x:c>
      <x:c r="F36" t="str">
        <x:v>Operations Manager</x:v>
      </x:c>
    </x:row>
    <x:row r="37">
      <x:c r="A37" t="str">
        <x:v>BUD-0035</x:v>
      </x:c>
      <x:c r="B37" t="str">
        <x:v>D003</x:v>
      </x:c>
      <x:c r="C37" t="str">
        <x:v>6500</x:v>
      </x:c>
      <x:c r="D37" s="77" t="n">
        <x:v>46327</x:v>
      </x:c>
      <x:c r="E37" s="40" t="n">
        <x:v>13462</x:v>
      </x:c>
      <x:c r="F37" t="str">
        <x:v>Operations Manager</x:v>
      </x:c>
    </x:row>
    <x:row r="38">
      <x:c r="A38" t="str">
        <x:v>BUD-0036</x:v>
      </x:c>
      <x:c r="B38" t="str">
        <x:v>D003</x:v>
      </x:c>
      <x:c r="C38" t="str">
        <x:v>6500</x:v>
      </x:c>
      <x:c r="D38" s="77" t="n">
        <x:v>46357</x:v>
      </x:c>
      <x:c r="E38" s="40" t="n">
        <x:v>13150</x:v>
      </x:c>
      <x:c r="F38" t="str">
        <x:v>Operations Manager</x:v>
      </x:c>
    </x:row>
    <x:row r="39">
      <x:c r="A39" t="str">
        <x:v>BUD-0037</x:v>
      </x:c>
      <x:c r="B39" t="str">
        <x:v>D004</x:v>
      </x:c>
      <x:c r="C39" t="str">
        <x:v>6600</x:v>
      </x:c>
      <x:c r="D39" s="77" t="n">
        <x:v>46023</x:v>
      </x:c>
      <x:c r="E39" s="40" t="n">
        <x:v>6004</x:v>
      </x:c>
      <x:c r="F39" t="str">
        <x:v>Finance Manager</x:v>
      </x:c>
    </x:row>
    <x:row r="40">
      <x:c r="A40" t="str">
        <x:v>BUD-0038</x:v>
      </x:c>
      <x:c r="B40" t="str">
        <x:v>D004</x:v>
      </x:c>
      <x:c r="C40" t="str">
        <x:v>6600</x:v>
      </x:c>
      <x:c r="D40" s="77" t="n">
        <x:v>46054</x:v>
      </x:c>
      <x:c r="E40" s="40" t="n">
        <x:v>5978</x:v>
      </x:c>
      <x:c r="F40" t="str">
        <x:v>Finance Manager</x:v>
      </x:c>
    </x:row>
    <x:row r="41">
      <x:c r="A41" t="str">
        <x:v>BUD-0039</x:v>
      </x:c>
      <x:c r="B41" t="str">
        <x:v>D004</x:v>
      </x:c>
      <x:c r="C41" t="str">
        <x:v>6600</x:v>
      </x:c>
      <x:c r="D41" s="77" t="n">
        <x:v>46082</x:v>
      </x:c>
      <x:c r="E41" s="40" t="n">
        <x:v>6033</x:v>
      </x:c>
      <x:c r="F41" t="str">
        <x:v>Finance Manager</x:v>
      </x:c>
    </x:row>
    <x:row r="42">
      <x:c r="A42" t="str">
        <x:v>BUD-0040</x:v>
      </x:c>
      <x:c r="B42" t="str">
        <x:v>D004</x:v>
      </x:c>
      <x:c r="C42" t="str">
        <x:v>6600</x:v>
      </x:c>
      <x:c r="D42" s="77" t="n">
        <x:v>46113</x:v>
      </x:c>
      <x:c r="E42" s="40" t="n">
        <x:v>6175</x:v>
      </x:c>
      <x:c r="F42" t="str">
        <x:v>Finance Manager</x:v>
      </x:c>
    </x:row>
    <x:row r="43">
      <x:c r="A43" t="str">
        <x:v>BUD-0041</x:v>
      </x:c>
      <x:c r="B43" t="str">
        <x:v>D004</x:v>
      </x:c>
      <x:c r="C43" t="str">
        <x:v>6600</x:v>
      </x:c>
      <x:c r="D43" s="77" t="n">
        <x:v>46143</x:v>
      </x:c>
      <x:c r="E43" s="40" t="n">
        <x:v>6238</x:v>
      </x:c>
      <x:c r="F43" t="str">
        <x:v>Finance Manager</x:v>
      </x:c>
    </x:row>
    <x:row r="44">
      <x:c r="A44" t="str">
        <x:v>BUD-0042</x:v>
      </x:c>
      <x:c r="B44" t="str">
        <x:v>D004</x:v>
      </x:c>
      <x:c r="C44" t="str">
        <x:v>6600</x:v>
      </x:c>
      <x:c r="D44" s="77" t="n">
        <x:v>46174</x:v>
      </x:c>
      <x:c r="E44" s="40" t="n">
        <x:v>5970</x:v>
      </x:c>
      <x:c r="F44" t="str">
        <x:v>Finance Manager</x:v>
      </x:c>
    </x:row>
    <x:row r="45">
      <x:c r="A45" t="str">
        <x:v>BUD-0043</x:v>
      </x:c>
      <x:c r="B45" t="str">
        <x:v>D004</x:v>
      </x:c>
      <x:c r="C45" t="str">
        <x:v>6600</x:v>
      </x:c>
      <x:c r="D45" s="77" t="n">
        <x:v>46204</x:v>
      </x:c>
      <x:c r="E45" s="40" t="n">
        <x:v>6186</x:v>
      </x:c>
      <x:c r="F45" t="str">
        <x:v>Finance Manager</x:v>
      </x:c>
    </x:row>
    <x:row r="46">
      <x:c r="A46" t="str">
        <x:v>BUD-0044</x:v>
      </x:c>
      <x:c r="B46" t="str">
        <x:v>D004</x:v>
      </x:c>
      <x:c r="C46" t="str">
        <x:v>6600</x:v>
      </x:c>
      <x:c r="D46" s="77" t="n">
        <x:v>46235</x:v>
      </x:c>
      <x:c r="E46" s="40" t="n">
        <x:v>6091</x:v>
      </x:c>
      <x:c r="F46" t="str">
        <x:v>Finance Manager</x:v>
      </x:c>
    </x:row>
    <x:row r="47">
      <x:c r="A47" t="str">
        <x:v>BUD-0045</x:v>
      </x:c>
      <x:c r="B47" t="str">
        <x:v>D004</x:v>
      </x:c>
      <x:c r="C47" t="str">
        <x:v>6600</x:v>
      </x:c>
      <x:c r="D47" s="77" t="n">
        <x:v>46266</x:v>
      </x:c>
      <x:c r="E47" s="40" t="n">
        <x:v>5893</x:v>
      </x:c>
      <x:c r="F47" t="str">
        <x:v>Finance Manager</x:v>
      </x:c>
    </x:row>
    <x:row r="48">
      <x:c r="A48" t="str">
        <x:v>BUD-0046</x:v>
      </x:c>
      <x:c r="B48" t="str">
        <x:v>D004</x:v>
      </x:c>
      <x:c r="C48" t="str">
        <x:v>6600</x:v>
      </x:c>
      <x:c r="D48" s="77" t="n">
        <x:v>46296</x:v>
      </x:c>
      <x:c r="E48" s="40" t="n">
        <x:v>5985</x:v>
      </x:c>
      <x:c r="F48" t="str">
        <x:v>Finance Manager</x:v>
      </x:c>
    </x:row>
    <x:row r="49">
      <x:c r="A49" t="str">
        <x:v>BUD-0047</x:v>
      </x:c>
      <x:c r="B49" t="str">
        <x:v>D004</x:v>
      </x:c>
      <x:c r="C49" t="str">
        <x:v>6600</x:v>
      </x:c>
      <x:c r="D49" s="77" t="n">
        <x:v>46327</x:v>
      </x:c>
      <x:c r="E49" s="40" t="n">
        <x:v>5791</x:v>
      </x:c>
      <x:c r="F49" t="str">
        <x:v>Finance Manager</x:v>
      </x:c>
    </x:row>
    <x:row r="50">
      <x:c r="A50" t="str">
        <x:v>BUD-0048</x:v>
      </x:c>
      <x:c r="B50" t="str">
        <x:v>D004</x:v>
      </x:c>
      <x:c r="C50" t="str">
        <x:v>6600</x:v>
      </x:c>
      <x:c r="D50" s="77" t="n">
        <x:v>46357</x:v>
      </x:c>
      <x:c r="E50" s="40" t="n">
        <x:v>5737</x:v>
      </x:c>
      <x:c r="F50" t="str">
        <x:v>Finance Manager</x:v>
      </x:c>
    </x:row>
    <x:row r="51">
      <x:c r="A51" t="str">
        <x:v>BUD-0049</x:v>
      </x:c>
      <x:c r="B51" t="str">
        <x:v>D005</x:v>
      </x:c>
      <x:c r="C51" t="str">
        <x:v>6100</x:v>
      </x:c>
      <x:c r="D51" s="77" t="n">
        <x:v>46023</x:v>
      </x:c>
      <x:c r="E51" s="40" t="n">
        <x:v>43216</x:v>
      </x:c>
      <x:c r="F51" t="str">
        <x:v>HR Manager</x:v>
      </x:c>
    </x:row>
    <x:row r="52">
      <x:c r="A52" t="str">
        <x:v>BUD-0050</x:v>
      </x:c>
      <x:c r="B52" t="str">
        <x:v>D005</x:v>
      </x:c>
      <x:c r="C52" t="str">
        <x:v>6100</x:v>
      </x:c>
      <x:c r="D52" s="77" t="n">
        <x:v>46054</x:v>
      </x:c>
      <x:c r="E52" s="40" t="n">
        <x:v>46796</x:v>
      </x:c>
      <x:c r="F52" t="str">
        <x:v>HR Manager</x:v>
      </x:c>
    </x:row>
    <x:row r="53">
      <x:c r="A53" t="str">
        <x:v>BUD-0051</x:v>
      </x:c>
      <x:c r="B53" t="str">
        <x:v>D005</x:v>
      </x:c>
      <x:c r="C53" t="str">
        <x:v>6100</x:v>
      </x:c>
      <x:c r="D53" s="77" t="n">
        <x:v>46082</x:v>
      </x:c>
      <x:c r="E53" s="40" t="n">
        <x:v>44295</x:v>
      </x:c>
      <x:c r="F53" t="str">
        <x:v>HR Manager</x:v>
      </x:c>
    </x:row>
    <x:row r="54">
      <x:c r="A54" t="str">
        <x:v>BUD-0052</x:v>
      </x:c>
      <x:c r="B54" t="str">
        <x:v>D005</x:v>
      </x:c>
      <x:c r="C54" t="str">
        <x:v>6100</x:v>
      </x:c>
      <x:c r="D54" s="77" t="n">
        <x:v>46113</x:v>
      </x:c>
      <x:c r="E54" s="40" t="n">
        <x:v>45964</x:v>
      </x:c>
      <x:c r="F54" t="str">
        <x:v>HR Manager</x:v>
      </x:c>
    </x:row>
    <x:row r="55">
      <x:c r="A55" t="str">
        <x:v>BUD-0053</x:v>
      </x:c>
      <x:c r="B55" t="str">
        <x:v>D005</x:v>
      </x:c>
      <x:c r="C55" t="str">
        <x:v>6100</x:v>
      </x:c>
      <x:c r="D55" s="77" t="n">
        <x:v>46143</x:v>
      </x:c>
      <x:c r="E55" s="40" t="n">
        <x:v>45020</x:v>
      </x:c>
      <x:c r="F55" t="str">
        <x:v>HR Manager</x:v>
      </x:c>
    </x:row>
    <x:row r="56">
      <x:c r="A56" t="str">
        <x:v>BUD-0054</x:v>
      </x:c>
      <x:c r="B56" t="str">
        <x:v>D005</x:v>
      </x:c>
      <x:c r="C56" t="str">
        <x:v>6100</x:v>
      </x:c>
      <x:c r="D56" s="77" t="n">
        <x:v>46174</x:v>
      </x:c>
      <x:c r="E56" s="40" t="n">
        <x:v>43527</x:v>
      </x:c>
      <x:c r="F56" t="str">
        <x:v>HR Manager</x:v>
      </x:c>
    </x:row>
    <x:row r="57">
      <x:c r="A57" t="str">
        <x:v>BUD-0055</x:v>
      </x:c>
      <x:c r="B57" t="str">
        <x:v>D005</x:v>
      </x:c>
      <x:c r="C57" t="str">
        <x:v>6100</x:v>
      </x:c>
      <x:c r="D57" s="77" t="n">
        <x:v>46204</x:v>
      </x:c>
      <x:c r="E57" s="40" t="n">
        <x:v>43865</x:v>
      </x:c>
      <x:c r="F57" t="str">
        <x:v>HR Manager</x:v>
      </x:c>
    </x:row>
    <x:row r="58">
      <x:c r="A58" t="str">
        <x:v>BUD-0056</x:v>
      </x:c>
      <x:c r="B58" t="str">
        <x:v>D005</x:v>
      </x:c>
      <x:c r="C58" t="str">
        <x:v>6100</x:v>
      </x:c>
      <x:c r="D58" s="77" t="n">
        <x:v>46235</x:v>
      </x:c>
      <x:c r="E58" s="40" t="n">
        <x:v>44720</x:v>
      </x:c>
      <x:c r="F58" t="str">
        <x:v>HR Manager</x:v>
      </x:c>
    </x:row>
    <x:row r="59">
      <x:c r="A59" t="str">
        <x:v>BUD-0057</x:v>
      </x:c>
      <x:c r="B59" t="str">
        <x:v>D005</x:v>
      </x:c>
      <x:c r="C59" t="str">
        <x:v>6100</x:v>
      </x:c>
      <x:c r="D59" s="77" t="n">
        <x:v>46266</x:v>
      </x:c>
      <x:c r="E59" s="40" t="n">
        <x:v>44727</x:v>
      </x:c>
      <x:c r="F59" t="str">
        <x:v>HR Manager</x:v>
      </x:c>
    </x:row>
    <x:row r="60">
      <x:c r="A60" t="str">
        <x:v>BUD-0058</x:v>
      </x:c>
      <x:c r="B60" t="str">
        <x:v>D005</x:v>
      </x:c>
      <x:c r="C60" t="str">
        <x:v>6100</x:v>
      </x:c>
      <x:c r="D60" s="77" t="n">
        <x:v>46296</x:v>
      </x:c>
      <x:c r="E60" s="40" t="n">
        <x:v>45102</x:v>
      </x:c>
      <x:c r="F60" t="str">
        <x:v>HR Manager</x:v>
      </x:c>
    </x:row>
    <x:row r="61">
      <x:c r="A61" t="str">
        <x:v>BUD-0059</x:v>
      </x:c>
      <x:c r="B61" t="str">
        <x:v>D005</x:v>
      </x:c>
      <x:c r="C61" t="str">
        <x:v>6100</x:v>
      </x:c>
      <x:c r="D61" s="77" t="n">
        <x:v>46327</x:v>
      </x:c>
      <x:c r="E61" s="40" t="n">
        <x:v>43464</x:v>
      </x:c>
      <x:c r="F61" t="str">
        <x:v>HR Manager</x:v>
      </x:c>
    </x:row>
    <x:row r="62">
      <x:c r="A62" t="str">
        <x:v>BUD-0060</x:v>
      </x:c>
      <x:c r="B62" t="str">
        <x:v>D005</x:v>
      </x:c>
      <x:c r="C62" t="str">
        <x:v>6100</x:v>
      </x:c>
      <x:c r="D62" s="77" t="n">
        <x:v>46357</x:v>
      </x:c>
      <x:c r="E62" s="40" t="n">
        <x:v>44428</x:v>
      </x:c>
      <x:c r="F62" t="str">
        <x:v>HR Manager</x:v>
      </x:c>
    </x:row>
    <x:row r="63">
      <x:c r="A63" t="str">
        <x:v>BUD-0061</x:v>
      </x:c>
      <x:c r="B63" t="str">
        <x:v>D006</x:v>
      </x:c>
      <x:c r="C63" t="str">
        <x:v>6400</x:v>
      </x:c>
      <x:c r="D63" s="77" t="n">
        <x:v>46023</x:v>
      </x:c>
      <x:c r="E63" s="40" t="n">
        <x:v>8805</x:v>
      </x:c>
      <x:c r="F63" t="str">
        <x:v>IT Manager</x:v>
      </x:c>
    </x:row>
    <x:row r="64">
      <x:c r="A64" t="str">
        <x:v>BUD-0062</x:v>
      </x:c>
      <x:c r="B64" t="str">
        <x:v>D006</x:v>
      </x:c>
      <x:c r="C64" t="str">
        <x:v>6400</x:v>
      </x:c>
      <x:c r="D64" s="77" t="n">
        <x:v>46054</x:v>
      </x:c>
      <x:c r="E64" s="40" t="n">
        <x:v>8918</x:v>
      </x:c>
      <x:c r="F64" t="str">
        <x:v>IT Manager</x:v>
      </x:c>
    </x:row>
    <x:row r="65">
      <x:c r="A65" t="str">
        <x:v>BUD-0063</x:v>
      </x:c>
      <x:c r="B65" t="str">
        <x:v>D006</x:v>
      </x:c>
      <x:c r="C65" t="str">
        <x:v>6400</x:v>
      </x:c>
      <x:c r="D65" s="77" t="n">
        <x:v>46082</x:v>
      </x:c>
      <x:c r="E65" s="40" t="n">
        <x:v>8855</x:v>
      </x:c>
      <x:c r="F65" t="str">
        <x:v>IT Manager</x:v>
      </x:c>
    </x:row>
    <x:row r="66">
      <x:c r="A66" t="str">
        <x:v>BUD-0064</x:v>
      </x:c>
      <x:c r="B66" t="str">
        <x:v>D006</x:v>
      </x:c>
      <x:c r="C66" t="str">
        <x:v>6400</x:v>
      </x:c>
      <x:c r="D66" s="77" t="n">
        <x:v>46113</x:v>
      </x:c>
      <x:c r="E66" s="40" t="n">
        <x:v>9088</x:v>
      </x:c>
      <x:c r="F66" t="str">
        <x:v>IT Manager</x:v>
      </x:c>
    </x:row>
    <x:row r="67">
      <x:c r="A67" t="str">
        <x:v>BUD-0065</x:v>
      </x:c>
      <x:c r="B67" t="str">
        <x:v>D006</x:v>
      </x:c>
      <x:c r="C67" t="str">
        <x:v>6400</x:v>
      </x:c>
      <x:c r="D67" s="77" t="n">
        <x:v>46143</x:v>
      </x:c>
      <x:c r="E67" s="40" t="n">
        <x:v>9260</x:v>
      </x:c>
      <x:c r="F67" t="str">
        <x:v>IT Manager</x:v>
      </x:c>
    </x:row>
    <x:row r="68">
      <x:c r="A68" t="str">
        <x:v>BUD-0066</x:v>
      </x:c>
      <x:c r="B68" t="str">
        <x:v>D006</x:v>
      </x:c>
      <x:c r="C68" t="str">
        <x:v>6400</x:v>
      </x:c>
      <x:c r="D68" s="77" t="n">
        <x:v>46174</x:v>
      </x:c>
      <x:c r="E68" s="40" t="n">
        <x:v>9133</x:v>
      </x:c>
      <x:c r="F68" t="str">
        <x:v>IT Manager</x:v>
      </x:c>
    </x:row>
    <x:row r="69">
      <x:c r="A69" t="str">
        <x:v>BUD-0067</x:v>
      </x:c>
      <x:c r="B69" t="str">
        <x:v>D006</x:v>
      </x:c>
      <x:c r="C69" t="str">
        <x:v>6400</x:v>
      </x:c>
      <x:c r="D69" s="77" t="n">
        <x:v>46204</x:v>
      </x:c>
      <x:c r="E69" s="40" t="n">
        <x:v>8609</x:v>
      </x:c>
      <x:c r="F69" t="str">
        <x:v>IT Manager</x:v>
      </x:c>
    </x:row>
    <x:row r="70">
      <x:c r="A70" t="str">
        <x:v>BUD-0068</x:v>
      </x:c>
      <x:c r="B70" t="str">
        <x:v>D006</x:v>
      </x:c>
      <x:c r="C70" t="str">
        <x:v>6400</x:v>
      </x:c>
      <x:c r="D70" s="77" t="n">
        <x:v>46235</x:v>
      </x:c>
      <x:c r="E70" s="40" t="n">
        <x:v>8635</x:v>
      </x:c>
      <x:c r="F70" t="str">
        <x:v>IT Manager</x:v>
      </x:c>
    </x:row>
    <x:row r="71">
      <x:c r="A71" t="str">
        <x:v>BUD-0069</x:v>
      </x:c>
      <x:c r="B71" t="str">
        <x:v>D006</x:v>
      </x:c>
      <x:c r="C71" t="str">
        <x:v>6400</x:v>
      </x:c>
      <x:c r="D71" s="77" t="n">
        <x:v>46266</x:v>
      </x:c>
      <x:c r="E71" s="40" t="n">
        <x:v>9161</x:v>
      </x:c>
      <x:c r="F71" t="str">
        <x:v>IT Manager</x:v>
      </x:c>
    </x:row>
    <x:row r="72">
      <x:c r="A72" t="str">
        <x:v>BUD-0070</x:v>
      </x:c>
      <x:c r="B72" t="str">
        <x:v>D006</x:v>
      </x:c>
      <x:c r="C72" t="str">
        <x:v>6400</x:v>
      </x:c>
      <x:c r="D72" s="77" t="n">
        <x:v>46296</x:v>
      </x:c>
      <x:c r="E72" s="40" t="n">
        <x:v>8806</x:v>
      </x:c>
      <x:c r="F72" t="str">
        <x:v>IT Manager</x:v>
      </x:c>
    </x:row>
    <x:row r="73">
      <x:c r="A73" t="str">
        <x:v>BUD-0071</x:v>
      </x:c>
      <x:c r="B73" t="str">
        <x:v>D006</x:v>
      </x:c>
      <x:c r="C73" t="str">
        <x:v>6400</x:v>
      </x:c>
      <x:c r="D73" s="77" t="n">
        <x:v>46327</x:v>
      </x:c>
      <x:c r="E73" s="40" t="n">
        <x:v>9201</x:v>
      </x:c>
      <x:c r="F73" t="str">
        <x:v>IT Manager</x:v>
      </x:c>
    </x:row>
    <x:row r="74">
      <x:c r="A74" t="str">
        <x:v>BUD-0072</x:v>
      </x:c>
      <x:c r="B74" t="str">
        <x:v>D006</x:v>
      </x:c>
      <x:c r="C74" t="str">
        <x:v>6400</x:v>
      </x:c>
      <x:c r="D74" s="77" t="n">
        <x:v>46357</x:v>
      </x:c>
      <x:c r="E74" s="40" t="n">
        <x:v>9141</x:v>
      </x:c>
      <x:c r="F74" t="str">
        <x:v>IT Manager</x:v>
      </x:c>
    </x:row>
  </x:sheetData>
  <x:mergeCells>
    <x:mergeCell ref="A1:F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75" t="str">
        <x:v>Fixed Asset Register</x:v>
      </x:c>
    </x:row>
    <x:row r="2">
      <x:c r="A2" s="76" t="str">
        <x:v>Asset_ID</x:v>
      </x:c>
      <x:c r="B2" s="76" t="str">
        <x:v>Asset_Name</x:v>
      </x:c>
      <x:c r="C2" s="76" t="str">
        <x:v>Category</x:v>
      </x:c>
      <x:c r="D2" s="76" t="str">
        <x:v>Purchase_Date</x:v>
      </x:c>
      <x:c r="E2" s="76" t="str">
        <x:v>Cost_USD</x:v>
      </x:c>
      <x:c r="F2" s="76" t="str">
        <x:v>Useful_Life_Months</x:v>
      </x:c>
      <x:c r="G2" s="76" t="str">
        <x:v>Department_ID</x:v>
      </x:c>
      <x:c r="H2" s="76" t="str">
        <x:v>Active</x:v>
      </x:c>
    </x:row>
    <x:row r="3">
      <x:c r="A3" t="str">
        <x:v>FA001</x:v>
      </x:c>
      <x:c r="B3" t="str">
        <x:v>Warehouse Racking</x:v>
      </x:c>
      <x:c r="C3" t="str">
        <x:v>Warehouse</x:v>
      </x:c>
      <x:c r="D3" s="32" t="n">
        <x:v>45658</x:v>
      </x:c>
      <x:c r="E3" s="40" t="n">
        <x:v>90000</x:v>
      </x:c>
      <x:c r="F3" t="n">
        <x:v>120</x:v>
      </x:c>
      <x:c r="G3" t="str">
        <x:v>D003</x:v>
      </x:c>
      <x:c r="H3" s="27" t="b">
        <x:v>1</x:v>
      </x:c>
    </x:row>
    <x:row r="4">
      <x:c r="A4" t="str">
        <x:v>FA002</x:v>
      </x:c>
      <x:c r="B4" t="str">
        <x:v>Delivery Equipment</x:v>
      </x:c>
      <x:c r="C4" t="str">
        <x:v>Logistics</x:v>
      </x:c>
      <x:c r="D4" s="32" t="n">
        <x:v>45748</x:v>
      </x:c>
      <x:c r="E4" s="40" t="n">
        <x:v>65000</x:v>
      </x:c>
      <x:c r="F4" t="n">
        <x:v>60</x:v>
      </x:c>
      <x:c r="G4" t="str">
        <x:v>D003</x:v>
      </x:c>
      <x:c r="H4" s="27" t="b">
        <x:v>1</x:v>
      </x:c>
    </x:row>
    <x:row r="5">
      <x:c r="A5" t="str">
        <x:v>FA003</x:v>
      </x:c>
      <x:c r="B5" t="str">
        <x:v>ERP Servers</x:v>
      </x:c>
      <x:c r="C5" t="str">
        <x:v>IT</x:v>
      </x:c>
      <x:c r="D5" s="32" t="n">
        <x:v>45839</x:v>
      </x:c>
      <x:c r="E5" s="40" t="n">
        <x:v>48000</x:v>
      </x:c>
      <x:c r="F5" t="n">
        <x:v>48</x:v>
      </x:c>
      <x:c r="G5" t="str">
        <x:v>D006</x:v>
      </x:c>
      <x:c r="H5" s="27" t="b">
        <x:v>1</x:v>
      </x:c>
    </x:row>
    <x:row r="6">
      <x:c r="A6" t="str">
        <x:v>FA004</x:v>
      </x:c>
      <x:c r="B6" t="str">
        <x:v>Office Fit-out</x:v>
      </x:c>
      <x:c r="C6" t="str">
        <x:v>Office</x:v>
      </x:c>
      <x:c r="D6" s="32" t="n">
        <x:v>45689</x:v>
      </x:c>
      <x:c r="E6" s="40" t="n">
        <x:v>72000</x:v>
      </x:c>
      <x:c r="F6" t="n">
        <x:v>96</x:v>
      </x:c>
      <x:c r="G6" t="str">
        <x:v>D004</x:v>
      </x:c>
      <x:c r="H6" s="27" t="b">
        <x:v>1</x:v>
      </x:c>
    </x:row>
    <x:row r="7">
      <x:c r="A7" t="str">
        <x:v>FA005</x:v>
      </x:c>
      <x:c r="B7" t="str">
        <x:v>Laptops &amp; Devices</x:v>
      </x:c>
      <x:c r="C7" t="str">
        <x:v>IT</x:v>
      </x:c>
      <x:c r="D7" s="32" t="n">
        <x:v>46037</x:v>
      </x:c>
      <x:c r="E7" s="40" t="n">
        <x:v>36000</x:v>
      </x:c>
      <x:c r="F7" t="n">
        <x:v>36</x:v>
      </x:c>
      <x:c r="G7" t="str">
        <x:v>D006</x:v>
      </x:c>
      <x:c r="H7" s="27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75" t="str">
        <x:v>Month-End Close Control Checklist</x:v>
      </x:c>
    </x:row>
    <x:row r="2">
      <x:c r="A2" s="76" t="str">
        <x:v>Task_ID</x:v>
      </x:c>
      <x:c r="B2" s="76" t="str">
        <x:v>Close_Task</x:v>
      </x:c>
      <x:c r="C2" s="76" t="str">
        <x:v>Owner</x:v>
      </x:c>
      <x:c r="D2" s="76" t="str">
        <x:v>Due_Day</x:v>
      </x:c>
      <x:c r="E2" s="76" t="str">
        <x:v>Status</x:v>
      </x:c>
      <x:c r="F2" s="76" t="str">
        <x:v>Evidence</x:v>
      </x:c>
      <x:c r="G2" s="76" t="str">
        <x:v>Control_Risk</x:v>
      </x:c>
    </x:row>
    <x:row r="3">
      <x:c r="A3" t="str">
        <x:v>CL001</x:v>
      </x:c>
      <x:c r="B3" t="str">
        <x:v>Post all approved sales and purchase invoices</x:v>
      </x:c>
      <x:c r="C3" t="str">
        <x:v>Finance</x:v>
      </x:c>
      <x:c r="D3" t="n">
        <x:v>1</x:v>
      </x:c>
      <x:c r="E3" t="str">
        <x:v>Complete</x:v>
      </x:c>
      <x:c r="F3" t="str">
        <x:v>GL posting report</x:v>
      </x:c>
      <x:c r="G3" t="str">
        <x:v>High</x:v>
      </x:c>
    </x:row>
    <x:row r="4">
      <x:c r="A4" t="str">
        <x:v>CL002</x:v>
      </x:c>
      <x:c r="B4" t="str">
        <x:v>Reconcile customer receipts to AR</x:v>
      </x:c>
      <x:c r="C4" t="str">
        <x:v>Finance</x:v>
      </x:c>
      <x:c r="D4" t="n">
        <x:v>2</x:v>
      </x:c>
      <x:c r="E4" t="str">
        <x:v>Complete</x:v>
      </x:c>
      <x:c r="F4" t="str">
        <x:v>AR aging</x:v>
      </x:c>
      <x:c r="G4" t="str">
        <x:v>High</x:v>
      </x:c>
    </x:row>
    <x:row r="5">
      <x:c r="A5" t="str">
        <x:v>CL003</x:v>
      </x:c>
      <x:c r="B5" t="str">
        <x:v>Reconcile vendor payments to AP</x:v>
      </x:c>
      <x:c r="C5" t="str">
        <x:v>Finance</x:v>
      </x:c>
      <x:c r="D5" t="n">
        <x:v>2</x:v>
      </x:c>
      <x:c r="E5" t="str">
        <x:v>Complete</x:v>
      </x:c>
      <x:c r="F5" t="str">
        <x:v>AP aging</x:v>
      </x:c>
      <x:c r="G5" t="str">
        <x:v>High</x:v>
      </x:c>
    </x:row>
    <x:row r="6">
      <x:c r="A6" t="str">
        <x:v>CL004</x:v>
      </x:c>
      <x:c r="B6" t="str">
        <x:v>Inventory quantity and valuation review</x:v>
      </x:c>
      <x:c r="C6" t="str">
        <x:v>Operations/Finance</x:v>
      </x:c>
      <x:c r="D6" t="n">
        <x:v>3</x:v>
      </x:c>
      <x:c r="E6" t="str">
        <x:v>In Progress</x:v>
      </x:c>
      <x:c r="F6" t="str">
        <x:v>Inventory summary</x:v>
      </x:c>
      <x:c r="G6" t="str">
        <x:v>High</x:v>
      </x:c>
    </x:row>
    <x:row r="7">
      <x:c r="A7" t="str">
        <x:v>CL005</x:v>
      </x:c>
      <x:c r="B7" t="str">
        <x:v>Bank reconciliation</x:v>
      </x:c>
      <x:c r="C7" t="str">
        <x:v>Finance</x:v>
      </x:c>
      <x:c r="D7" t="n">
        <x:v>3</x:v>
      </x:c>
      <x:c r="E7" t="str">
        <x:v>In Progress</x:v>
      </x:c>
      <x:c r="F7" t="str">
        <x:v>Bank rec</x:v>
      </x:c>
      <x:c r="G7" t="str">
        <x:v>High</x:v>
      </x:c>
    </x:row>
    <x:row r="8">
      <x:c r="A8" t="str">
        <x:v>CL006</x:v>
      </x:c>
      <x:c r="B8" t="str">
        <x:v>Post payroll and accrual journals</x:v>
      </x:c>
      <x:c r="C8" t="str">
        <x:v>Finance</x:v>
      </x:c>
      <x:c r="D8" t="n">
        <x:v>3</x:v>
      </x:c>
      <x:c r="E8" t="str">
        <x:v>Complete</x:v>
      </x:c>
      <x:c r="F8" t="str">
        <x:v>Journal register</x:v>
      </x:c>
      <x:c r="G8" t="str">
        <x:v>Medium</x:v>
      </x:c>
    </x:row>
    <x:row r="9">
      <x:c r="A9" t="str">
        <x:v>CL007</x:v>
      </x:c>
      <x:c r="B9" t="str">
        <x:v>Post depreciation</x:v>
      </x:c>
      <x:c r="C9" t="str">
        <x:v>Finance</x:v>
      </x:c>
      <x:c r="D9" t="n">
        <x:v>4</x:v>
      </x:c>
      <x:c r="E9" t="str">
        <x:v>Complete</x:v>
      </x:c>
      <x:c r="F9" t="str">
        <x:v>Fixed asset register</x:v>
      </x:c>
      <x:c r="G9" t="str">
        <x:v>Medium</x:v>
      </x:c>
    </x:row>
    <x:row r="10">
      <x:c r="A10" t="str">
        <x:v>CL008</x:v>
      </x:c>
      <x:c r="B10" t="str">
        <x:v>Review department budget variances</x:v>
      </x:c>
      <x:c r="C10" t="str">
        <x:v>FP&amp;A</x:v>
      </x:c>
      <x:c r="D10" t="n">
        <x:v>4</x:v>
      </x:c>
      <x:c r="E10" t="str">
        <x:v>Not Started</x:v>
      </x:c>
      <x:c r="F10" t="str">
        <x:v>Budget variance report</x:v>
      </x:c>
      <x:c r="G10" t="str">
        <x:v>Medium</x:v>
      </x:c>
    </x:row>
    <x:row r="11">
      <x:c r="A11" t="str">
        <x:v>CL009</x:v>
      </x:c>
      <x:c r="B11" t="str">
        <x:v>Review balance sheet reconciliations</x:v>
      </x:c>
      <x:c r="C11" t="str">
        <x:v>Controller</x:v>
      </x:c>
      <x:c r="D11" t="n">
        <x:v>5</x:v>
      </x:c>
      <x:c r="E11" t="str">
        <x:v>Not Started</x:v>
      </x:c>
      <x:c r="F11" t="str">
        <x:v>Reconciliation pack</x:v>
      </x:c>
      <x:c r="G11" t="str">
        <x:v>High</x:v>
      </x:c>
    </x:row>
    <x:row r="12">
      <x:c r="A12" t="str">
        <x:v>CL010</x:v>
      </x:c>
      <x:c r="B12" t="str">
        <x:v>Issue management reporting pack</x:v>
      </x:c>
      <x:c r="C12" t="str">
        <x:v>FP&amp;A</x:v>
      </x:c>
      <x:c r="D12" t="n">
        <x:v>6</x:v>
      </x:c>
      <x:c r="E12" t="str">
        <x:v>Not Started</x:v>
      </x:c>
      <x:c r="F12" t="str">
        <x:v>Dashboard / statements</x:v>
      </x:c>
      <x:c r="G12" t="str">
        <x:v>Medium</x:v>
      </x:c>
    </x:row>
  </x:sheetData>
  <x:mergeCells>
    <x:mergeCell ref="A1:G1"/>
  </x:mergeCells>
  <x:pageMargins left="0.7" right="0.7" top="0.75" bottom="0.75" header="0.3" footer="0.3"/>
</x:worksheet>
</file>